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Rampa mensual" sheetId="2" state="visible" r:id="rId2"/>
    <sheet name="Cartera recurrente" sheetId="3" state="visible" r:id="rId3"/>
    <sheet name="Escenarios" sheetId="4" state="visible" r:id="rId4"/>
    <sheet name="Calendario fisc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;[Red](#,##0 €);-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color rgb="00808080"/>
      <sz val="9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2" fillId="3" borderId="1" pivotButton="0" quotePrefix="0" xfId="0"/>
    <xf numFmtId="0" fontId="3" fillId="0" borderId="0" pivotButton="0" quotePrefix="0" xfId="0"/>
    <xf numFmtId="164" fontId="4" fillId="4" borderId="1" pivotButton="0" quotePrefix="0" xfId="0"/>
    <xf numFmtId="165" fontId="3" fillId="0" borderId="1" pivotButton="0" quotePrefix="0" xfId="0"/>
    <xf numFmtId="0" fontId="5" fillId="0" borderId="0" applyAlignment="1" pivotButton="0" quotePrefix="0" xfId="0">
      <alignment vertical="top" wrapText="1"/>
    </xf>
    <xf numFmtId="0" fontId="4" fillId="4" borderId="1" pivotButton="0" quotePrefix="0" xfId="0"/>
    <xf numFmtId="0" fontId="6" fillId="5" borderId="1" pivotButton="0" quotePrefix="0" xfId="0"/>
    <xf numFmtId="0" fontId="5" fillId="0" borderId="0" pivotButton="0" quotePrefix="0" xfId="0"/>
    <xf numFmtId="164" fontId="2" fillId="3" borderId="1" pivotButton="0" quotePrefix="0" xfId="0"/>
    <xf numFmtId="165" fontId="4" fillId="4" borderId="1" pivotButton="0" quotePrefix="0" xfId="0"/>
    <xf numFmtId="165" fontId="2" fillId="0" borderId="1" pivotButton="0" quotePrefix="0" xfId="0"/>
    <xf numFmtId="0" fontId="7" fillId="0" borderId="0" pivotButton="0" quotePrefix="0" xfId="0"/>
    <xf numFmtId="164" fontId="3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2" fillId="6" borderId="1" pivotButton="0" quotePrefix="0" xfId="0"/>
    <xf numFmtId="1" fontId="2" fillId="0" borderId="1" pivotButton="0" quotePrefix="0" xfId="0"/>
    <xf numFmtId="166" fontId="3" fillId="0" borderId="1" pivotButton="0" quotePrefix="0" xfId="0"/>
    <xf numFmtId="166" fontId="2" fillId="3" borderId="1" pivotButton="0" quotePrefix="0" xfId="0"/>
    <xf numFmtId="166" fontId="4" fillId="4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  <col width="12" customWidth="1" min="14" max="14"/>
  </cols>
  <sheetData>
    <row r="1" ht="26" customHeight="1">
      <c r="A1" s="1" t="inlineStr">
        <is>
          <t xml:space="preserve">  SUPUESTOS — todo lo que puedes cambiar está en amarillo</t>
        </is>
      </c>
    </row>
    <row r="3">
      <c r="A3" s="2" t="inlineStr">
        <is>
          <t>SERVICIOS Y PRECIOS</t>
        </is>
      </c>
    </row>
    <row r="4">
      <c r="A4" s="3" t="inlineStr">
        <is>
          <t>Servicio</t>
        </is>
      </c>
      <c r="B4" s="3" t="inlineStr">
        <is>
          <t>PVP</t>
        </is>
      </c>
      <c r="C4" s="3" t="inlineStr">
        <is>
          <t>Coste unit.</t>
        </is>
      </c>
      <c r="D4" s="3" t="inlineStr">
        <is>
          <t>Margen</t>
        </is>
      </c>
    </row>
    <row r="5">
      <c r="A5" s="4" t="inlineStr">
        <is>
          <t>Web esencial</t>
        </is>
      </c>
      <c r="B5" s="5" t="n">
        <v>1200</v>
      </c>
      <c r="C5" s="5" t="n">
        <v>150</v>
      </c>
      <c r="D5" s="6">
        <f>IF(B5=0,"",(B5-C5)/B5)</f>
        <v/>
      </c>
      <c r="H5" s="7" t="inlineStr">
        <is>
          <t>Las cuotas son precio POR MES. Precios revisados con el mapa competitivo de León: mantenimiento 80 EUR (mercado 50-150) y web profesional 2.900 (un competidor local publica 2.500 en tienda online).</t>
        </is>
      </c>
    </row>
    <row r="6">
      <c r="A6" s="4" t="inlineStr">
        <is>
          <t>Web profesional / e-commerce</t>
        </is>
      </c>
      <c r="B6" s="5" t="n">
        <v>2900</v>
      </c>
      <c r="C6" s="5" t="n">
        <v>600</v>
      </c>
      <c r="D6" s="6">
        <f>IF(B6=0,"",(B6-C6)/B6)</f>
        <v/>
      </c>
    </row>
    <row r="7">
      <c r="A7" s="4" t="inlineStr">
        <is>
          <t>Identidad visual y diseño gráfico</t>
        </is>
      </c>
      <c r="B7" s="5" t="n">
        <v>950</v>
      </c>
      <c r="C7" s="5" t="n">
        <v>60</v>
      </c>
      <c r="D7" s="6">
        <f>IF(B7=0,"",(B7-C7)/B7)</f>
        <v/>
      </c>
    </row>
    <row r="8">
      <c r="A8" s="4" t="inlineStr">
        <is>
          <t>Mantenimiento (cuota mensual)</t>
        </is>
      </c>
      <c r="B8" s="5" t="n">
        <v>80</v>
      </c>
      <c r="C8" s="5" t="n">
        <v>15</v>
      </c>
      <c r="D8" s="6">
        <f>IF(B8=0,"",(B8-C8)/B8)</f>
        <v/>
      </c>
    </row>
    <row r="9">
      <c r="A9" s="4" t="inlineStr">
        <is>
          <t>SEO local (cuota mensual)</t>
        </is>
      </c>
      <c r="B9" s="5" t="n">
        <v>250</v>
      </c>
      <c r="C9" s="5" t="n">
        <v>40</v>
      </c>
      <c r="D9" s="6">
        <f>IF(B9=0,"",(B9-C9)/B9)</f>
        <v/>
      </c>
    </row>
    <row r="11">
      <c r="A11" s="2" t="inlineStr">
        <is>
          <t>UNIDADES DEL AÑO 1, POR ESCENARIO</t>
        </is>
      </c>
    </row>
    <row r="12">
      <c r="A12" s="3" t="inlineStr">
        <is>
          <t>Servicio</t>
        </is>
      </c>
      <c r="B12" s="3" t="inlineStr">
        <is>
          <t>Pesimista</t>
        </is>
      </c>
      <c r="C12" s="3" t="inlineStr">
        <is>
          <t>Previsto</t>
        </is>
      </c>
      <c r="D12" s="3" t="inlineStr">
        <is>
          <t>Optimista</t>
        </is>
      </c>
    </row>
    <row r="13">
      <c r="A13" s="4" t="inlineStr">
        <is>
          <t>Web esencial</t>
        </is>
      </c>
      <c r="B13" s="8" t="n">
        <v>6</v>
      </c>
      <c r="C13" s="8" t="n">
        <v>10</v>
      </c>
      <c r="D13" s="8" t="n">
        <v>14</v>
      </c>
      <c r="H13" s="7" t="inlineStr">
        <is>
          <t>El escenario PESIMISTA es el que importa: si con él aguantas, el plan es robusto. El previsto son las 17 ventas del plan de negocio.</t>
        </is>
      </c>
    </row>
    <row r="14">
      <c r="A14" s="4" t="inlineStr">
        <is>
          <t>Web profesional / e-commerce</t>
        </is>
      </c>
      <c r="B14" s="8" t="n">
        <v>1</v>
      </c>
      <c r="C14" s="8" t="n">
        <v>2</v>
      </c>
      <c r="D14" s="8" t="n">
        <v>3</v>
      </c>
    </row>
    <row r="15">
      <c r="A15" s="4" t="inlineStr">
        <is>
          <t>Identidad visual y diseño gráfico</t>
        </is>
      </c>
      <c r="B15" s="8" t="n">
        <v>3</v>
      </c>
      <c r="C15" s="8" t="n">
        <v>5</v>
      </c>
      <c r="D15" s="8" t="n">
        <v>8</v>
      </c>
    </row>
    <row r="16">
      <c r="A16" s="4" t="inlineStr">
        <is>
          <t>Altas nuevas de mantenimiento al mes</t>
        </is>
      </c>
      <c r="B16" s="8" t="n">
        <v>0.85</v>
      </c>
      <c r="C16" s="8" t="n">
        <v>1.45</v>
      </c>
      <c r="D16" s="8" t="n">
        <v>2.1</v>
      </c>
    </row>
    <row r="17">
      <c r="A17" s="4" t="inlineStr">
        <is>
          <t>Altas nuevas de SEO local al mes</t>
        </is>
      </c>
      <c r="B17" s="8" t="n">
        <v>0.12</v>
      </c>
      <c r="C17" s="8" t="n">
        <v>0.25</v>
      </c>
      <c r="D17" s="8" t="n">
        <v>0.45</v>
      </c>
    </row>
    <row r="19">
      <c r="A19" s="2" t="inlineStr">
        <is>
          <t>ESCENARIO ACTIVO</t>
        </is>
      </c>
      <c r="B19" s="8" t="inlineStr">
        <is>
          <t>Previsto</t>
        </is>
      </c>
      <c r="C19" s="9">
        <f>IF(B19="Pesimista",2,IF(B19="Optimista",4,3))</f>
        <v/>
      </c>
      <c r="H19" s="10" t="inlineStr">
        <is>
          <t>Escribe aquí: Pesimista, Previsto u Optimista.</t>
        </is>
      </c>
    </row>
    <row r="21">
      <c r="A21" s="2" t="inlineStr">
        <is>
          <t>GASTOS FIJOS MENSUALES</t>
        </is>
      </c>
    </row>
    <row r="22">
      <c r="A22" s="4" t="inlineStr">
        <is>
          <t>Suscripciones (Claude Pro, Adobe, SEO, hosting)</t>
        </is>
      </c>
      <c r="B22" s="5" t="n">
        <v>119</v>
      </c>
    </row>
    <row r="23">
      <c r="A23" s="4" t="inlineStr">
        <is>
          <t>Publicidad y marketing</t>
        </is>
      </c>
      <c r="B23" s="5" t="n">
        <v>125</v>
      </c>
    </row>
    <row r="24">
      <c r="A24" s="4" t="inlineStr">
        <is>
          <t>Cuota de autónomos (tarifa plana)</t>
        </is>
      </c>
      <c r="B24" s="5" t="n">
        <v>80</v>
      </c>
    </row>
    <row r="25">
      <c r="A25" s="4" t="inlineStr">
        <is>
          <t>Asesoría</t>
        </is>
      </c>
      <c r="B25" s="5" t="n">
        <v>65</v>
      </c>
    </row>
    <row r="26">
      <c r="A26" s="4" t="inlineStr">
        <is>
          <t>Desplazamientos</t>
        </is>
      </c>
      <c r="B26" s="5" t="n">
        <v>50</v>
      </c>
    </row>
    <row r="27">
      <c r="A27" s="4" t="inlineStr">
        <is>
          <t>Suministros (ver nota: NO es salida de caja)</t>
        </is>
      </c>
      <c r="B27" s="5" t="n">
        <v>0</v>
      </c>
      <c r="H27" s="10" t="inlineStr">
        <is>
          <t>Los suministros de casa (luz, agua, internet) los pagas tengas negocio o no: son DEDUCCIÓN fiscal, no una salida de caja nueva. Por eso van a 0 aquí, aunque sí cuenten como gasto en el plan de negocio.</t>
        </is>
      </c>
    </row>
    <row r="28">
      <c r="A28" s="4" t="inlineStr">
        <is>
          <t>Material de oficina</t>
        </is>
      </c>
      <c r="B28" s="5" t="n">
        <v>40</v>
      </c>
    </row>
    <row r="29">
      <c r="A29" s="4" t="inlineStr">
        <is>
          <t>Varios</t>
        </is>
      </c>
      <c r="B29" s="5" t="n">
        <v>20</v>
      </c>
    </row>
    <row r="30">
      <c r="A30" s="2" t="inlineStr">
        <is>
          <t>TOTAL GASTOS FIJOS AL MES</t>
        </is>
      </c>
      <c r="B30" s="11">
        <f>SUM(B22:B29)</f>
        <v/>
      </c>
    </row>
    <row r="31">
      <c r="A31" s="4" t="inlineStr">
        <is>
          <t>Seguro de RC profesional (pago único, mes 1)</t>
        </is>
      </c>
      <c r="B31" s="5" t="n">
        <v>250</v>
      </c>
    </row>
    <row r="33">
      <c r="A33" s="2" t="inlineStr">
        <is>
          <t>CAJA, COBROS E IMPUESTOS</t>
        </is>
      </c>
    </row>
    <row r="34">
      <c r="A34" s="4" t="inlineStr">
        <is>
          <t>Caja inicial disponible</t>
        </is>
      </c>
      <c r="B34" s="5" t="n">
        <v>179</v>
      </c>
      <c r="H34" s="10" t="inlineStr">
        <is>
          <t>Lo que tienes el día 1. Es el número más importante de esta hoja.</t>
        </is>
      </c>
    </row>
    <row r="35">
      <c r="A35" s="4" t="inlineStr">
        <is>
          <t>% de anticipo al firmar</t>
        </is>
      </c>
      <c r="B35" s="12" t="n">
        <v>0.5</v>
      </c>
      <c r="H35" s="10" t="inlineStr">
        <is>
          <t>El resto se cobra al entregar, un mes después.</t>
        </is>
      </c>
    </row>
    <row r="36">
      <c r="A36" s="4" t="inlineStr">
        <is>
          <t>Retención de IRPF en factura</t>
        </is>
      </c>
      <c r="B36" s="12" t="n">
        <v>0.07000000000000001</v>
      </c>
      <c r="H36" s="10" t="inlineStr">
        <is>
          <t>7% si te das de alta en epígrafe PROFESIONAL (Secc. 2ª). Pon 0% si es empresarial.</t>
        </is>
      </c>
    </row>
    <row r="37">
      <c r="A37" s="4" t="inlineStr">
        <is>
          <t>IVA</t>
        </is>
      </c>
      <c r="B37" s="12" t="n">
        <v>0.21</v>
      </c>
      <c r="H37" s="10" t="inlineStr">
        <is>
          <t>Tipo general. No es tuyo: lo devuelves cada trimestre.</t>
        </is>
      </c>
    </row>
    <row r="38">
      <c r="A38" s="4" t="inlineStr">
        <is>
          <t>% de impagos previsto</t>
        </is>
      </c>
      <c r="B38" s="12" t="n">
        <v>0.03</v>
      </c>
      <c r="H38" s="10" t="inlineStr">
        <is>
          <t>Ventas que nunca llegas a cobrar. Un 3% es prudente en B2B pequeño.</t>
        </is>
      </c>
    </row>
    <row r="39">
      <c r="A39" s="4" t="inlineStr">
        <is>
          <t>Baja mensual de clientes recurrentes</t>
        </is>
      </c>
      <c r="B39" s="12" t="n">
        <v>0.01</v>
      </c>
      <c r="H39" s="10" t="inlineStr">
        <is>
          <t>Churn. Un 1% al mes es un 12% al año, que es lo normal.</t>
        </is>
      </c>
    </row>
    <row r="40">
      <c r="A40" s="4" t="inlineStr">
        <is>
          <t>Tu retirada mensual</t>
        </is>
      </c>
      <c r="B40" s="5" t="n">
        <v>0</v>
      </c>
      <c r="H40" s="10" t="inlineStr">
        <is>
          <t>Déjalo en 0 los primeros meses. Súbelo cuando la caja aguante.</t>
        </is>
      </c>
    </row>
    <row r="43">
      <c r="A43" s="2" t="inlineStr">
        <is>
          <t>REPARTO DE LAS VENTAS A LO LARGO DEL AÑO</t>
        </is>
      </c>
    </row>
    <row r="44">
      <c r="A44" s="10" t="inlineStr">
        <is>
          <t>(rampa de arranque + agosto y diciembre flojos)</t>
        </is>
      </c>
    </row>
    <row r="45">
      <c r="B45" s="3" t="inlineStr">
        <is>
          <t>M1</t>
        </is>
      </c>
      <c r="C45" s="3" t="inlineStr">
        <is>
          <t>M2</t>
        </is>
      </c>
      <c r="D45" s="3" t="inlineStr">
        <is>
          <t>M3</t>
        </is>
      </c>
      <c r="E45" s="3" t="inlineStr">
        <is>
          <t>M4</t>
        </is>
      </c>
      <c r="F45" s="3" t="inlineStr">
        <is>
          <t>M5</t>
        </is>
      </c>
      <c r="G45" s="3" t="inlineStr">
        <is>
          <t>M6</t>
        </is>
      </c>
      <c r="H45" s="3" t="inlineStr">
        <is>
          <t>M7</t>
        </is>
      </c>
      <c r="I45" s="3" t="inlineStr">
        <is>
          <t>M8</t>
        </is>
      </c>
      <c r="J45" s="3" t="inlineStr">
        <is>
          <t>M9</t>
        </is>
      </c>
      <c r="K45" s="3" t="inlineStr">
        <is>
          <t>M10</t>
        </is>
      </c>
      <c r="L45" s="3" t="inlineStr">
        <is>
          <t>M11</t>
        </is>
      </c>
      <c r="M45" s="3" t="inlineStr">
        <is>
          <t>M12</t>
        </is>
      </c>
      <c r="N45" s="2" t="inlineStr">
        <is>
          <t>SUMA</t>
        </is>
      </c>
    </row>
    <row r="46">
      <c r="B46" s="12" t="n">
        <v>0</v>
      </c>
      <c r="C46" s="12" t="n">
        <v>0.04</v>
      </c>
      <c r="D46" s="12" t="n">
        <v>0.07000000000000001</v>
      </c>
      <c r="E46" s="12" t="n">
        <v>0.09</v>
      </c>
      <c r="F46" s="12" t="n">
        <v>0.11</v>
      </c>
      <c r="G46" s="12" t="n">
        <v>0.11</v>
      </c>
      <c r="H46" s="12" t="n">
        <v>0.1</v>
      </c>
      <c r="I46" s="12" t="n">
        <v>0.03</v>
      </c>
      <c r="J46" s="12" t="n">
        <v>0.11</v>
      </c>
      <c r="K46" s="12" t="n">
        <v>0.13</v>
      </c>
      <c r="L46" s="12" t="n">
        <v>0.13</v>
      </c>
      <c r="M46" s="12" t="n">
        <v>0.08</v>
      </c>
      <c r="N46" s="13">
        <f>SUM(B46:M46)</f>
        <v/>
      </c>
    </row>
    <row r="47">
      <c r="B47" s="2">
        <f>IF(ROUND(N46,4)&lt;&gt;1,"Los pesos deben sumar 100%","Suma 100% correcta")</f>
        <v/>
      </c>
    </row>
  </sheetData>
  <mergeCells count="3">
    <mergeCell ref="A1:J1"/>
    <mergeCell ref="H13:H17"/>
    <mergeCell ref="H5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 ht="26" customHeight="1">
      <c r="A1" s="1" t="inlineStr">
        <is>
          <t xml:space="preserve">  RAMPA MENSUAL DE TESORERÍA — el año 1, mes a mes</t>
        </is>
      </c>
    </row>
    <row r="3">
      <c r="B3" s="3" t="inlineStr">
        <is>
          <t>Mes 1</t>
        </is>
      </c>
      <c r="C3" s="3" t="inlineStr">
        <is>
          <t>Mes 2</t>
        </is>
      </c>
      <c r="D3" s="3" t="inlineStr">
        <is>
          <t>Mes 3</t>
        </is>
      </c>
      <c r="E3" s="3" t="inlineStr">
        <is>
          <t>Mes 4</t>
        </is>
      </c>
      <c r="F3" s="3" t="inlineStr">
        <is>
          <t>Mes 5</t>
        </is>
      </c>
      <c r="G3" s="3" t="inlineStr">
        <is>
          <t>Mes 6</t>
        </is>
      </c>
      <c r="H3" s="3" t="inlineStr">
        <is>
          <t>Mes 7</t>
        </is>
      </c>
      <c r="I3" s="3" t="inlineStr">
        <is>
          <t>Mes 8</t>
        </is>
      </c>
      <c r="J3" s="3" t="inlineStr">
        <is>
          <t>Mes 9</t>
        </is>
      </c>
      <c r="K3" s="3" t="inlineStr">
        <is>
          <t>Mes 10</t>
        </is>
      </c>
      <c r="L3" s="3" t="inlineStr">
        <is>
          <t>Mes 11</t>
        </is>
      </c>
      <c r="M3" s="3" t="inlineStr">
        <is>
          <t>Mes 12</t>
        </is>
      </c>
      <c r="N3" s="3" t="inlineStr">
        <is>
          <t>AÑO 1</t>
        </is>
      </c>
    </row>
    <row r="4">
      <c r="A4" s="14" t="inlineStr">
        <is>
          <t>VENTAS (sin IVA)</t>
        </is>
      </c>
    </row>
    <row r="5">
      <c r="A5" s="4" t="inlineStr">
        <is>
          <t xml:space="preserve">  Web esencial</t>
        </is>
      </c>
      <c r="B5" s="15">
        <f>INDEX(Supuestos!$B$13:$D$13,Supuestos!$C$19-1)*Supuestos!B$46*Supuestos!$B$5</f>
        <v/>
      </c>
      <c r="C5" s="15">
        <f>INDEX(Supuestos!$B$13:$D$13,Supuestos!$C$19-1)*Supuestos!C$46*Supuestos!$B$5</f>
        <v/>
      </c>
      <c r="D5" s="15">
        <f>INDEX(Supuestos!$B$13:$D$13,Supuestos!$C$19-1)*Supuestos!D$46*Supuestos!$B$5</f>
        <v/>
      </c>
      <c r="E5" s="15">
        <f>INDEX(Supuestos!$B$13:$D$13,Supuestos!$C$19-1)*Supuestos!E$46*Supuestos!$B$5</f>
        <v/>
      </c>
      <c r="F5" s="15">
        <f>INDEX(Supuestos!$B$13:$D$13,Supuestos!$C$19-1)*Supuestos!F$46*Supuestos!$B$5</f>
        <v/>
      </c>
      <c r="G5" s="15">
        <f>INDEX(Supuestos!$B$13:$D$13,Supuestos!$C$19-1)*Supuestos!G$46*Supuestos!$B$5</f>
        <v/>
      </c>
      <c r="H5" s="15">
        <f>INDEX(Supuestos!$B$13:$D$13,Supuestos!$C$19-1)*Supuestos!H$46*Supuestos!$B$5</f>
        <v/>
      </c>
      <c r="I5" s="15">
        <f>INDEX(Supuestos!$B$13:$D$13,Supuestos!$C$19-1)*Supuestos!I$46*Supuestos!$B$5</f>
        <v/>
      </c>
      <c r="J5" s="15">
        <f>INDEX(Supuestos!$B$13:$D$13,Supuestos!$C$19-1)*Supuestos!J$46*Supuestos!$B$5</f>
        <v/>
      </c>
      <c r="K5" s="15">
        <f>INDEX(Supuestos!$B$13:$D$13,Supuestos!$C$19-1)*Supuestos!K$46*Supuestos!$B$5</f>
        <v/>
      </c>
      <c r="L5" s="15">
        <f>INDEX(Supuestos!$B$13:$D$13,Supuestos!$C$19-1)*Supuestos!L$46*Supuestos!$B$5</f>
        <v/>
      </c>
      <c r="M5" s="15">
        <f>INDEX(Supuestos!$B$13:$D$13,Supuestos!$C$19-1)*Supuestos!M$46*Supuestos!$B$5</f>
        <v/>
      </c>
      <c r="N5" s="16">
        <f>SUM(B5:M5)</f>
        <v/>
      </c>
    </row>
    <row r="6">
      <c r="A6" s="4" t="inlineStr">
        <is>
          <t xml:space="preserve">  Web profesional / e-commerce</t>
        </is>
      </c>
      <c r="B6" s="15">
        <f>INDEX(Supuestos!$B$14:$D$14,Supuestos!$C$19-1)*Supuestos!B$46*Supuestos!$B$6</f>
        <v/>
      </c>
      <c r="C6" s="15">
        <f>INDEX(Supuestos!$B$14:$D$14,Supuestos!$C$19-1)*Supuestos!C$46*Supuestos!$B$6</f>
        <v/>
      </c>
      <c r="D6" s="15">
        <f>INDEX(Supuestos!$B$14:$D$14,Supuestos!$C$19-1)*Supuestos!D$46*Supuestos!$B$6</f>
        <v/>
      </c>
      <c r="E6" s="15">
        <f>INDEX(Supuestos!$B$14:$D$14,Supuestos!$C$19-1)*Supuestos!E$46*Supuestos!$B$6</f>
        <v/>
      </c>
      <c r="F6" s="15">
        <f>INDEX(Supuestos!$B$14:$D$14,Supuestos!$C$19-1)*Supuestos!F$46*Supuestos!$B$6</f>
        <v/>
      </c>
      <c r="G6" s="15">
        <f>INDEX(Supuestos!$B$14:$D$14,Supuestos!$C$19-1)*Supuestos!G$46*Supuestos!$B$6</f>
        <v/>
      </c>
      <c r="H6" s="15">
        <f>INDEX(Supuestos!$B$14:$D$14,Supuestos!$C$19-1)*Supuestos!H$46*Supuestos!$B$6</f>
        <v/>
      </c>
      <c r="I6" s="15">
        <f>INDEX(Supuestos!$B$14:$D$14,Supuestos!$C$19-1)*Supuestos!I$46*Supuestos!$B$6</f>
        <v/>
      </c>
      <c r="J6" s="15">
        <f>INDEX(Supuestos!$B$14:$D$14,Supuestos!$C$19-1)*Supuestos!J$46*Supuestos!$B$6</f>
        <v/>
      </c>
      <c r="K6" s="15">
        <f>INDEX(Supuestos!$B$14:$D$14,Supuestos!$C$19-1)*Supuestos!K$46*Supuestos!$B$6</f>
        <v/>
      </c>
      <c r="L6" s="15">
        <f>INDEX(Supuestos!$B$14:$D$14,Supuestos!$C$19-1)*Supuestos!L$46*Supuestos!$B$6</f>
        <v/>
      </c>
      <c r="M6" s="15">
        <f>INDEX(Supuestos!$B$14:$D$14,Supuestos!$C$19-1)*Supuestos!M$46*Supuestos!$B$6</f>
        <v/>
      </c>
      <c r="N6" s="16">
        <f>SUM(B6:M6)</f>
        <v/>
      </c>
    </row>
    <row r="7">
      <c r="A7" s="4" t="inlineStr">
        <is>
          <t xml:space="preserve">  Identidad visual y diseño gráfico</t>
        </is>
      </c>
      <c r="B7" s="15">
        <f>INDEX(Supuestos!$B$15:$D$15,Supuestos!$C$19-1)*Supuestos!B$46*Supuestos!$B$7</f>
        <v/>
      </c>
      <c r="C7" s="15">
        <f>INDEX(Supuestos!$B$15:$D$15,Supuestos!$C$19-1)*Supuestos!C$46*Supuestos!$B$7</f>
        <v/>
      </c>
      <c r="D7" s="15">
        <f>INDEX(Supuestos!$B$15:$D$15,Supuestos!$C$19-1)*Supuestos!D$46*Supuestos!$B$7</f>
        <v/>
      </c>
      <c r="E7" s="15">
        <f>INDEX(Supuestos!$B$15:$D$15,Supuestos!$C$19-1)*Supuestos!E$46*Supuestos!$B$7</f>
        <v/>
      </c>
      <c r="F7" s="15">
        <f>INDEX(Supuestos!$B$15:$D$15,Supuestos!$C$19-1)*Supuestos!F$46*Supuestos!$B$7</f>
        <v/>
      </c>
      <c r="G7" s="15">
        <f>INDEX(Supuestos!$B$15:$D$15,Supuestos!$C$19-1)*Supuestos!G$46*Supuestos!$B$7</f>
        <v/>
      </c>
      <c r="H7" s="15">
        <f>INDEX(Supuestos!$B$15:$D$15,Supuestos!$C$19-1)*Supuestos!H$46*Supuestos!$B$7</f>
        <v/>
      </c>
      <c r="I7" s="15">
        <f>INDEX(Supuestos!$B$15:$D$15,Supuestos!$C$19-1)*Supuestos!I$46*Supuestos!$B$7</f>
        <v/>
      </c>
      <c r="J7" s="15">
        <f>INDEX(Supuestos!$B$15:$D$15,Supuestos!$C$19-1)*Supuestos!J$46*Supuestos!$B$7</f>
        <v/>
      </c>
      <c r="K7" s="15">
        <f>INDEX(Supuestos!$B$15:$D$15,Supuestos!$C$19-1)*Supuestos!K$46*Supuestos!$B$7</f>
        <v/>
      </c>
      <c r="L7" s="15">
        <f>INDEX(Supuestos!$B$15:$D$15,Supuestos!$C$19-1)*Supuestos!L$46*Supuestos!$B$7</f>
        <v/>
      </c>
      <c r="M7" s="15">
        <f>INDEX(Supuestos!$B$15:$D$15,Supuestos!$C$19-1)*Supuestos!M$46*Supuestos!$B$7</f>
        <v/>
      </c>
      <c r="N7" s="16">
        <f>SUM(B7:M7)</f>
        <v/>
      </c>
    </row>
    <row r="8">
      <c r="A8" s="4" t="inlineStr">
        <is>
          <t xml:space="preserve">  Mantenimiento (cartera acumulada)</t>
        </is>
      </c>
      <c r="B8" s="15">
        <f>'Cartera recurrente'!B7*Supuestos!$B$8</f>
        <v/>
      </c>
      <c r="C8" s="15">
        <f>'Cartera recurrente'!C7*Supuestos!$B$8</f>
        <v/>
      </c>
      <c r="D8" s="15">
        <f>'Cartera recurrente'!D7*Supuestos!$B$8</f>
        <v/>
      </c>
      <c r="E8" s="15">
        <f>'Cartera recurrente'!E7*Supuestos!$B$8</f>
        <v/>
      </c>
      <c r="F8" s="15">
        <f>'Cartera recurrente'!F7*Supuestos!$B$8</f>
        <v/>
      </c>
      <c r="G8" s="15">
        <f>'Cartera recurrente'!G7*Supuestos!$B$8</f>
        <v/>
      </c>
      <c r="H8" s="15">
        <f>'Cartera recurrente'!H7*Supuestos!$B$8</f>
        <v/>
      </c>
      <c r="I8" s="15">
        <f>'Cartera recurrente'!I7*Supuestos!$B$8</f>
        <v/>
      </c>
      <c r="J8" s="15">
        <f>'Cartera recurrente'!J7*Supuestos!$B$8</f>
        <v/>
      </c>
      <c r="K8" s="15">
        <f>'Cartera recurrente'!K7*Supuestos!$B$8</f>
        <v/>
      </c>
      <c r="L8" s="15">
        <f>'Cartera recurrente'!L7*Supuestos!$B$8</f>
        <v/>
      </c>
      <c r="M8" s="15">
        <f>'Cartera recurrente'!M7*Supuestos!$B$8</f>
        <v/>
      </c>
      <c r="N8" s="16">
        <f>SUM(B8:M8)</f>
        <v/>
      </c>
    </row>
    <row r="9">
      <c r="A9" s="4" t="inlineStr">
        <is>
          <t xml:space="preserve">  SEO local (cartera acumulada)</t>
        </is>
      </c>
      <c r="B9" s="15">
        <f>'Cartera recurrente'!B13*Supuestos!$B$9</f>
        <v/>
      </c>
      <c r="C9" s="15">
        <f>'Cartera recurrente'!C13*Supuestos!$B$9</f>
        <v/>
      </c>
      <c r="D9" s="15">
        <f>'Cartera recurrente'!D13*Supuestos!$B$9</f>
        <v/>
      </c>
      <c r="E9" s="15">
        <f>'Cartera recurrente'!E13*Supuestos!$B$9</f>
        <v/>
      </c>
      <c r="F9" s="15">
        <f>'Cartera recurrente'!F13*Supuestos!$B$9</f>
        <v/>
      </c>
      <c r="G9" s="15">
        <f>'Cartera recurrente'!G13*Supuestos!$B$9</f>
        <v/>
      </c>
      <c r="H9" s="15">
        <f>'Cartera recurrente'!H13*Supuestos!$B$9</f>
        <v/>
      </c>
      <c r="I9" s="15">
        <f>'Cartera recurrente'!I13*Supuestos!$B$9</f>
        <v/>
      </c>
      <c r="J9" s="15">
        <f>'Cartera recurrente'!J13*Supuestos!$B$9</f>
        <v/>
      </c>
      <c r="K9" s="15">
        <f>'Cartera recurrente'!K13*Supuestos!$B$9</f>
        <v/>
      </c>
      <c r="L9" s="15">
        <f>'Cartera recurrente'!L13*Supuestos!$B$9</f>
        <v/>
      </c>
      <c r="M9" s="15">
        <f>'Cartera recurrente'!M13*Supuestos!$B$9</f>
        <v/>
      </c>
      <c r="N9" s="16">
        <f>SUM(B9:M9)</f>
        <v/>
      </c>
    </row>
    <row r="10">
      <c r="A10" s="2" t="inlineStr">
        <is>
          <t>TOTAL VENTAS</t>
        </is>
      </c>
      <c r="B10" s="16">
        <f>SUM(B5:B9)</f>
        <v/>
      </c>
      <c r="C10" s="16">
        <f>SUM(C5:C9)</f>
        <v/>
      </c>
      <c r="D10" s="16">
        <f>SUM(D5:D9)</f>
        <v/>
      </c>
      <c r="E10" s="16">
        <f>SUM(E5:E9)</f>
        <v/>
      </c>
      <c r="F10" s="16">
        <f>SUM(F5:F9)</f>
        <v/>
      </c>
      <c r="G10" s="16">
        <f>SUM(G5:G9)</f>
        <v/>
      </c>
      <c r="H10" s="16">
        <f>SUM(H5:H9)</f>
        <v/>
      </c>
      <c r="I10" s="16">
        <f>SUM(I5:I9)</f>
        <v/>
      </c>
      <c r="J10" s="16">
        <f>SUM(J5:J9)</f>
        <v/>
      </c>
      <c r="K10" s="16">
        <f>SUM(K5:K9)</f>
        <v/>
      </c>
      <c r="L10" s="16">
        <f>SUM(L5:L9)</f>
        <v/>
      </c>
      <c r="M10" s="16">
        <f>SUM(M5:M9)</f>
        <v/>
      </c>
      <c r="N10" s="11">
        <f>SUM(B10:M10)</f>
        <v/>
      </c>
    </row>
    <row r="12">
      <c r="A12" s="14" t="inlineStr">
        <is>
          <t>COBROS (lo que entra de verdad en el banco)</t>
        </is>
      </c>
    </row>
    <row r="13">
      <c r="A13" s="4" t="inlineStr">
        <is>
          <t xml:space="preserve">  Proyectos: anticipo al firmar</t>
        </is>
      </c>
      <c r="B13" s="15">
        <f>SUM(B5:B7)*Supuestos!$B$35</f>
        <v/>
      </c>
      <c r="C13" s="15">
        <f>SUM(C5:C7)*Supuestos!$B$35</f>
        <v/>
      </c>
      <c r="D13" s="15">
        <f>SUM(D5:D7)*Supuestos!$B$35</f>
        <v/>
      </c>
      <c r="E13" s="15">
        <f>SUM(E5:E7)*Supuestos!$B$35</f>
        <v/>
      </c>
      <c r="F13" s="15">
        <f>SUM(F5:F7)*Supuestos!$B$35</f>
        <v/>
      </c>
      <c r="G13" s="15">
        <f>SUM(G5:G7)*Supuestos!$B$35</f>
        <v/>
      </c>
      <c r="H13" s="15">
        <f>SUM(H5:H7)*Supuestos!$B$35</f>
        <v/>
      </c>
      <c r="I13" s="15">
        <f>SUM(I5:I7)*Supuestos!$B$35</f>
        <v/>
      </c>
      <c r="J13" s="15">
        <f>SUM(J5:J7)*Supuestos!$B$35</f>
        <v/>
      </c>
      <c r="K13" s="15">
        <f>SUM(K5:K7)*Supuestos!$B$35</f>
        <v/>
      </c>
      <c r="L13" s="15">
        <f>SUM(L5:L7)*Supuestos!$B$35</f>
        <v/>
      </c>
      <c r="M13" s="15">
        <f>SUM(M5:M7)*Supuestos!$B$35</f>
        <v/>
      </c>
      <c r="N13" s="16">
        <f>SUM(B13:M13)</f>
        <v/>
      </c>
    </row>
    <row r="14">
      <c r="A14" s="4" t="inlineStr">
        <is>
          <t xml:space="preserve">  Proyectos: resto al entregar (mes siguiente)</t>
        </is>
      </c>
      <c r="B14" s="15">
        <f>0</f>
        <v/>
      </c>
      <c r="C14" s="15">
        <f>SUM(B5:B7)*(1-Supuestos!$B$35)</f>
        <v/>
      </c>
      <c r="D14" s="15">
        <f>SUM(C5:C7)*(1-Supuestos!$B$35)</f>
        <v/>
      </c>
      <c r="E14" s="15">
        <f>SUM(D5:D7)*(1-Supuestos!$B$35)</f>
        <v/>
      </c>
      <c r="F14" s="15">
        <f>SUM(E5:E7)*(1-Supuestos!$B$35)</f>
        <v/>
      </c>
      <c r="G14" s="15">
        <f>SUM(F5:F7)*(1-Supuestos!$B$35)</f>
        <v/>
      </c>
      <c r="H14" s="15">
        <f>SUM(G5:G7)*(1-Supuestos!$B$35)</f>
        <v/>
      </c>
      <c r="I14" s="15">
        <f>SUM(H5:H7)*(1-Supuestos!$B$35)</f>
        <v/>
      </c>
      <c r="J14" s="15">
        <f>SUM(I5:I7)*(1-Supuestos!$B$35)</f>
        <v/>
      </c>
      <c r="K14" s="15">
        <f>SUM(J5:J7)*(1-Supuestos!$B$35)</f>
        <v/>
      </c>
      <c r="L14" s="15">
        <f>SUM(K5:K7)*(1-Supuestos!$B$35)</f>
        <v/>
      </c>
      <c r="M14" s="15">
        <f>SUM(L5:L7)*(1-Supuestos!$B$35)</f>
        <v/>
      </c>
      <c r="N14" s="16">
        <f>SUM(B14:M14)</f>
        <v/>
      </c>
    </row>
    <row r="15">
      <c r="A15" s="4" t="inlineStr">
        <is>
          <t xml:space="preserve">  Cuotas recurrentes (domiciliadas)</t>
        </is>
      </c>
      <c r="B15" s="15">
        <f>SUM(B8:B9)</f>
        <v/>
      </c>
      <c r="C15" s="15">
        <f>SUM(C8:C9)</f>
        <v/>
      </c>
      <c r="D15" s="15">
        <f>SUM(D8:D9)</f>
        <v/>
      </c>
      <c r="E15" s="15">
        <f>SUM(E8:E9)</f>
        <v/>
      </c>
      <c r="F15" s="15">
        <f>SUM(F8:F9)</f>
        <v/>
      </c>
      <c r="G15" s="15">
        <f>SUM(G8:G9)</f>
        <v/>
      </c>
      <c r="H15" s="15">
        <f>SUM(H8:H9)</f>
        <v/>
      </c>
      <c r="I15" s="15">
        <f>SUM(I8:I9)</f>
        <v/>
      </c>
      <c r="J15" s="15">
        <f>SUM(J8:J9)</f>
        <v/>
      </c>
      <c r="K15" s="15">
        <f>SUM(K8:K9)</f>
        <v/>
      </c>
      <c r="L15" s="15">
        <f>SUM(L8:L9)</f>
        <v/>
      </c>
      <c r="M15" s="15">
        <f>SUM(M8:M9)</f>
        <v/>
      </c>
      <c r="N15" s="16">
        <f>SUM(B15:M15)</f>
        <v/>
      </c>
    </row>
    <row r="16">
      <c r="A16" s="4" t="inlineStr">
        <is>
          <t xml:space="preserve">  Menos impagos</t>
        </is>
      </c>
      <c r="B16" s="15">
        <f>-SUM(B13:B15)*Supuestos!$B$38</f>
        <v/>
      </c>
      <c r="C16" s="15">
        <f>-SUM(C13:C15)*Supuestos!$B$38</f>
        <v/>
      </c>
      <c r="D16" s="15">
        <f>-SUM(D13:D15)*Supuestos!$B$38</f>
        <v/>
      </c>
      <c r="E16" s="15">
        <f>-SUM(E13:E15)*Supuestos!$B$38</f>
        <v/>
      </c>
      <c r="F16" s="15">
        <f>-SUM(F13:F15)*Supuestos!$B$38</f>
        <v/>
      </c>
      <c r="G16" s="15">
        <f>-SUM(G13:G15)*Supuestos!$B$38</f>
        <v/>
      </c>
      <c r="H16" s="15">
        <f>-SUM(H13:H15)*Supuestos!$B$38</f>
        <v/>
      </c>
      <c r="I16" s="15">
        <f>-SUM(I13:I15)*Supuestos!$B$38</f>
        <v/>
      </c>
      <c r="J16" s="15">
        <f>-SUM(J13:J15)*Supuestos!$B$38</f>
        <v/>
      </c>
      <c r="K16" s="15">
        <f>-SUM(K13:K15)*Supuestos!$B$38</f>
        <v/>
      </c>
      <c r="L16" s="15">
        <f>-SUM(L13:L15)*Supuestos!$B$38</f>
        <v/>
      </c>
      <c r="M16" s="15">
        <f>-SUM(M13:M15)*Supuestos!$B$38</f>
        <v/>
      </c>
      <c r="N16" s="16">
        <f>SUM(B16:M16)</f>
        <v/>
      </c>
    </row>
    <row r="17">
      <c r="A17" s="4" t="inlineStr">
        <is>
          <t xml:space="preserve">  IVA repercutido cobrado</t>
        </is>
      </c>
      <c r="B17" s="15">
        <f>SUM(B13:B16)*Supuestos!$B$37</f>
        <v/>
      </c>
      <c r="C17" s="15">
        <f>SUM(C13:C16)*Supuestos!$B$37</f>
        <v/>
      </c>
      <c r="D17" s="15">
        <f>SUM(D13:D16)*Supuestos!$B$37</f>
        <v/>
      </c>
      <c r="E17" s="15">
        <f>SUM(E13:E16)*Supuestos!$B$37</f>
        <v/>
      </c>
      <c r="F17" s="15">
        <f>SUM(F13:F16)*Supuestos!$B$37</f>
        <v/>
      </c>
      <c r="G17" s="15">
        <f>SUM(G13:G16)*Supuestos!$B$37</f>
        <v/>
      </c>
      <c r="H17" s="15">
        <f>SUM(H13:H16)*Supuestos!$B$37</f>
        <v/>
      </c>
      <c r="I17" s="15">
        <f>SUM(I13:I16)*Supuestos!$B$37</f>
        <v/>
      </c>
      <c r="J17" s="15">
        <f>SUM(J13:J16)*Supuestos!$B$37</f>
        <v/>
      </c>
      <c r="K17" s="15">
        <f>SUM(K13:K16)*Supuestos!$B$37</f>
        <v/>
      </c>
      <c r="L17" s="15">
        <f>SUM(L13:L16)*Supuestos!$B$37</f>
        <v/>
      </c>
      <c r="M17" s="15">
        <f>SUM(M13:M16)*Supuestos!$B$37</f>
        <v/>
      </c>
      <c r="N17" s="16">
        <f>SUM(B17:M17)</f>
        <v/>
      </c>
    </row>
    <row r="18">
      <c r="A18" s="4" t="inlineStr">
        <is>
          <t xml:space="preserve">  Menos retención de IRPF del cliente</t>
        </is>
      </c>
      <c r="B18" s="15">
        <f>-SUM(B13:B14)*Supuestos!$B$36</f>
        <v/>
      </c>
      <c r="C18" s="15">
        <f>-SUM(C13:C14)*Supuestos!$B$36</f>
        <v/>
      </c>
      <c r="D18" s="15">
        <f>-SUM(D13:D14)*Supuestos!$B$36</f>
        <v/>
      </c>
      <c r="E18" s="15">
        <f>-SUM(E13:E14)*Supuestos!$B$36</f>
        <v/>
      </c>
      <c r="F18" s="15">
        <f>-SUM(F13:F14)*Supuestos!$B$36</f>
        <v/>
      </c>
      <c r="G18" s="15">
        <f>-SUM(G13:G14)*Supuestos!$B$36</f>
        <v/>
      </c>
      <c r="H18" s="15">
        <f>-SUM(H13:H14)*Supuestos!$B$36</f>
        <v/>
      </c>
      <c r="I18" s="15">
        <f>-SUM(I13:I14)*Supuestos!$B$36</f>
        <v/>
      </c>
      <c r="J18" s="15">
        <f>-SUM(J13:J14)*Supuestos!$B$36</f>
        <v/>
      </c>
      <c r="K18" s="15">
        <f>-SUM(K13:K14)*Supuestos!$B$36</f>
        <v/>
      </c>
      <c r="L18" s="15">
        <f>-SUM(L13:L14)*Supuestos!$B$36</f>
        <v/>
      </c>
      <c r="M18" s="15">
        <f>-SUM(M13:M14)*Supuestos!$B$36</f>
        <v/>
      </c>
      <c r="N18" s="16">
        <f>SUM(B18:M18)</f>
        <v/>
      </c>
    </row>
    <row r="19">
      <c r="A19" s="2" t="inlineStr">
        <is>
          <t>TOTAL COBROS</t>
        </is>
      </c>
      <c r="B19" s="16">
        <f>SUM(B13:B18)</f>
        <v/>
      </c>
      <c r="C19" s="16">
        <f>SUM(C13:C18)</f>
        <v/>
      </c>
      <c r="D19" s="16">
        <f>SUM(D13:D18)</f>
        <v/>
      </c>
      <c r="E19" s="16">
        <f>SUM(E13:E18)</f>
        <v/>
      </c>
      <c r="F19" s="16">
        <f>SUM(F13:F18)</f>
        <v/>
      </c>
      <c r="G19" s="16">
        <f>SUM(G13:G18)</f>
        <v/>
      </c>
      <c r="H19" s="16">
        <f>SUM(H13:H18)</f>
        <v/>
      </c>
      <c r="I19" s="16">
        <f>SUM(I13:I18)</f>
        <v/>
      </c>
      <c r="J19" s="16">
        <f>SUM(J13:J18)</f>
        <v/>
      </c>
      <c r="K19" s="16">
        <f>SUM(K13:K18)</f>
        <v/>
      </c>
      <c r="L19" s="16">
        <f>SUM(L13:L18)</f>
        <v/>
      </c>
      <c r="M19" s="16">
        <f>SUM(M13:M18)</f>
        <v/>
      </c>
      <c r="N19" s="11">
        <f>SUM(B19:M19)</f>
        <v/>
      </c>
    </row>
    <row r="21">
      <c r="A21" s="14" t="inlineStr">
        <is>
          <t>PAGOS</t>
        </is>
      </c>
    </row>
    <row r="22">
      <c r="A22" s="4" t="inlineStr">
        <is>
          <t xml:space="preserve">  Coste de ventas (proveedores y freelances)</t>
        </is>
      </c>
      <c r="B22" s="15">
        <f>-(INDEX(Supuestos!$B$13:$D$13,Supuestos!$C$19-1)*Supuestos!B$46*Supuestos!$C$5+INDEX(Supuestos!$B$14:$D$14,Supuestos!$C$19-1)*Supuestos!B$46*Supuestos!$C$6+INDEX(Supuestos!$B$15:$D$15,Supuestos!$C$19-1)*Supuestos!B$46*Supuestos!$C$7+'Cartera recurrente'!B7*Supuestos!$C$8+'Cartera recurrente'!B13*Supuestos!$C$9)*(1+Supuestos!$B$37)</f>
        <v/>
      </c>
      <c r="C22" s="15">
        <f>-(INDEX(Supuestos!$B$13:$D$13,Supuestos!$C$19-1)*Supuestos!C$46*Supuestos!$C$5+INDEX(Supuestos!$B$14:$D$14,Supuestos!$C$19-1)*Supuestos!C$46*Supuestos!$C$6+INDEX(Supuestos!$B$15:$D$15,Supuestos!$C$19-1)*Supuestos!C$46*Supuestos!$C$7+'Cartera recurrente'!C7*Supuestos!$C$8+'Cartera recurrente'!C13*Supuestos!$C$9)*(1+Supuestos!$B$37)</f>
        <v/>
      </c>
      <c r="D22" s="15">
        <f>-(INDEX(Supuestos!$B$13:$D$13,Supuestos!$C$19-1)*Supuestos!D$46*Supuestos!$C$5+INDEX(Supuestos!$B$14:$D$14,Supuestos!$C$19-1)*Supuestos!D$46*Supuestos!$C$6+INDEX(Supuestos!$B$15:$D$15,Supuestos!$C$19-1)*Supuestos!D$46*Supuestos!$C$7+'Cartera recurrente'!D7*Supuestos!$C$8+'Cartera recurrente'!D13*Supuestos!$C$9)*(1+Supuestos!$B$37)</f>
        <v/>
      </c>
      <c r="E22" s="15">
        <f>-(INDEX(Supuestos!$B$13:$D$13,Supuestos!$C$19-1)*Supuestos!E$46*Supuestos!$C$5+INDEX(Supuestos!$B$14:$D$14,Supuestos!$C$19-1)*Supuestos!E$46*Supuestos!$C$6+INDEX(Supuestos!$B$15:$D$15,Supuestos!$C$19-1)*Supuestos!E$46*Supuestos!$C$7+'Cartera recurrente'!E7*Supuestos!$C$8+'Cartera recurrente'!E13*Supuestos!$C$9)*(1+Supuestos!$B$37)</f>
        <v/>
      </c>
      <c r="F22" s="15">
        <f>-(INDEX(Supuestos!$B$13:$D$13,Supuestos!$C$19-1)*Supuestos!F$46*Supuestos!$C$5+INDEX(Supuestos!$B$14:$D$14,Supuestos!$C$19-1)*Supuestos!F$46*Supuestos!$C$6+INDEX(Supuestos!$B$15:$D$15,Supuestos!$C$19-1)*Supuestos!F$46*Supuestos!$C$7+'Cartera recurrente'!F7*Supuestos!$C$8+'Cartera recurrente'!F13*Supuestos!$C$9)*(1+Supuestos!$B$37)</f>
        <v/>
      </c>
      <c r="G22" s="15">
        <f>-(INDEX(Supuestos!$B$13:$D$13,Supuestos!$C$19-1)*Supuestos!G$46*Supuestos!$C$5+INDEX(Supuestos!$B$14:$D$14,Supuestos!$C$19-1)*Supuestos!G$46*Supuestos!$C$6+INDEX(Supuestos!$B$15:$D$15,Supuestos!$C$19-1)*Supuestos!G$46*Supuestos!$C$7+'Cartera recurrente'!G7*Supuestos!$C$8+'Cartera recurrente'!G13*Supuestos!$C$9)*(1+Supuestos!$B$37)</f>
        <v/>
      </c>
      <c r="H22" s="15">
        <f>-(INDEX(Supuestos!$B$13:$D$13,Supuestos!$C$19-1)*Supuestos!H$46*Supuestos!$C$5+INDEX(Supuestos!$B$14:$D$14,Supuestos!$C$19-1)*Supuestos!H$46*Supuestos!$C$6+INDEX(Supuestos!$B$15:$D$15,Supuestos!$C$19-1)*Supuestos!H$46*Supuestos!$C$7+'Cartera recurrente'!H7*Supuestos!$C$8+'Cartera recurrente'!H13*Supuestos!$C$9)*(1+Supuestos!$B$37)</f>
        <v/>
      </c>
      <c r="I22" s="15">
        <f>-(INDEX(Supuestos!$B$13:$D$13,Supuestos!$C$19-1)*Supuestos!I$46*Supuestos!$C$5+INDEX(Supuestos!$B$14:$D$14,Supuestos!$C$19-1)*Supuestos!I$46*Supuestos!$C$6+INDEX(Supuestos!$B$15:$D$15,Supuestos!$C$19-1)*Supuestos!I$46*Supuestos!$C$7+'Cartera recurrente'!I7*Supuestos!$C$8+'Cartera recurrente'!I13*Supuestos!$C$9)*(1+Supuestos!$B$37)</f>
        <v/>
      </c>
      <c r="J22" s="15">
        <f>-(INDEX(Supuestos!$B$13:$D$13,Supuestos!$C$19-1)*Supuestos!J$46*Supuestos!$C$5+INDEX(Supuestos!$B$14:$D$14,Supuestos!$C$19-1)*Supuestos!J$46*Supuestos!$C$6+INDEX(Supuestos!$B$15:$D$15,Supuestos!$C$19-1)*Supuestos!J$46*Supuestos!$C$7+'Cartera recurrente'!J7*Supuestos!$C$8+'Cartera recurrente'!J13*Supuestos!$C$9)*(1+Supuestos!$B$37)</f>
        <v/>
      </c>
      <c r="K22" s="15">
        <f>-(INDEX(Supuestos!$B$13:$D$13,Supuestos!$C$19-1)*Supuestos!K$46*Supuestos!$C$5+INDEX(Supuestos!$B$14:$D$14,Supuestos!$C$19-1)*Supuestos!K$46*Supuestos!$C$6+INDEX(Supuestos!$B$15:$D$15,Supuestos!$C$19-1)*Supuestos!K$46*Supuestos!$C$7+'Cartera recurrente'!K7*Supuestos!$C$8+'Cartera recurrente'!K13*Supuestos!$C$9)*(1+Supuestos!$B$37)</f>
        <v/>
      </c>
      <c r="L22" s="15">
        <f>-(INDEX(Supuestos!$B$13:$D$13,Supuestos!$C$19-1)*Supuestos!L$46*Supuestos!$C$5+INDEX(Supuestos!$B$14:$D$14,Supuestos!$C$19-1)*Supuestos!L$46*Supuestos!$C$6+INDEX(Supuestos!$B$15:$D$15,Supuestos!$C$19-1)*Supuestos!L$46*Supuestos!$C$7+'Cartera recurrente'!L7*Supuestos!$C$8+'Cartera recurrente'!L13*Supuestos!$C$9)*(1+Supuestos!$B$37)</f>
        <v/>
      </c>
      <c r="M22" s="15">
        <f>-(INDEX(Supuestos!$B$13:$D$13,Supuestos!$C$19-1)*Supuestos!M$46*Supuestos!$C$5+INDEX(Supuestos!$B$14:$D$14,Supuestos!$C$19-1)*Supuestos!M$46*Supuestos!$C$6+INDEX(Supuestos!$B$15:$D$15,Supuestos!$C$19-1)*Supuestos!M$46*Supuestos!$C$7+'Cartera recurrente'!M7*Supuestos!$C$8+'Cartera recurrente'!M13*Supuestos!$C$9)*(1+Supuestos!$B$37)</f>
        <v/>
      </c>
      <c r="N22" s="16">
        <f>SUM(B22:M22)</f>
        <v/>
      </c>
    </row>
    <row r="23">
      <c r="A23" s="4" t="inlineStr">
        <is>
          <t xml:space="preserve">  Gastos fijos</t>
        </is>
      </c>
      <c r="B23" s="15">
        <f>-Supuestos!$B$30*(1+Supuestos!$B$37)</f>
        <v/>
      </c>
      <c r="C23" s="15">
        <f>-Supuestos!$B$30*(1+Supuestos!$B$37)</f>
        <v/>
      </c>
      <c r="D23" s="15">
        <f>-Supuestos!$B$30*(1+Supuestos!$B$37)</f>
        <v/>
      </c>
      <c r="E23" s="15">
        <f>-Supuestos!$B$30*(1+Supuestos!$B$37)</f>
        <v/>
      </c>
      <c r="F23" s="15">
        <f>-Supuestos!$B$30*(1+Supuestos!$B$37)</f>
        <v/>
      </c>
      <c r="G23" s="15">
        <f>-Supuestos!$B$30*(1+Supuestos!$B$37)</f>
        <v/>
      </c>
      <c r="H23" s="15">
        <f>-Supuestos!$B$30*(1+Supuestos!$B$37)</f>
        <v/>
      </c>
      <c r="I23" s="15">
        <f>-Supuestos!$B$30*(1+Supuestos!$B$37)</f>
        <v/>
      </c>
      <c r="J23" s="15">
        <f>-Supuestos!$B$30*(1+Supuestos!$B$37)</f>
        <v/>
      </c>
      <c r="K23" s="15">
        <f>-Supuestos!$B$30*(1+Supuestos!$B$37)</f>
        <v/>
      </c>
      <c r="L23" s="15">
        <f>-Supuestos!$B$30*(1+Supuestos!$B$37)</f>
        <v/>
      </c>
      <c r="M23" s="15">
        <f>-Supuestos!$B$30*(1+Supuestos!$B$37)</f>
        <v/>
      </c>
      <c r="N23" s="16">
        <f>SUM(B23:M23)</f>
        <v/>
      </c>
    </row>
    <row r="24">
      <c r="A24" s="4" t="inlineStr">
        <is>
          <t xml:space="preserve">  Seguro de RC profesional</t>
        </is>
      </c>
      <c r="B24" s="15">
        <f>-Supuestos!$B$31</f>
        <v/>
      </c>
      <c r="C24" s="15">
        <f>0</f>
        <v/>
      </c>
      <c r="D24" s="15">
        <f>0</f>
        <v/>
      </c>
      <c r="E24" s="15">
        <f>0</f>
        <v/>
      </c>
      <c r="F24" s="15">
        <f>0</f>
        <v/>
      </c>
      <c r="G24" s="15">
        <f>0</f>
        <v/>
      </c>
      <c r="H24" s="15">
        <f>0</f>
        <v/>
      </c>
      <c r="I24" s="15">
        <f>0</f>
        <v/>
      </c>
      <c r="J24" s="15">
        <f>0</f>
        <v/>
      </c>
      <c r="K24" s="15">
        <f>0</f>
        <v/>
      </c>
      <c r="L24" s="15">
        <f>0</f>
        <v/>
      </c>
      <c r="M24" s="15">
        <f>0</f>
        <v/>
      </c>
      <c r="N24" s="16">
        <f>SUM(B24:M24)</f>
        <v/>
      </c>
    </row>
    <row r="25">
      <c r="A25" s="4" t="inlineStr">
        <is>
          <t xml:space="preserve">  Tu retirada</t>
        </is>
      </c>
      <c r="B25" s="15">
        <f>-Supuestos!$B$40</f>
        <v/>
      </c>
      <c r="C25" s="15">
        <f>-Supuestos!$B$40</f>
        <v/>
      </c>
      <c r="D25" s="15">
        <f>-Supuestos!$B$40</f>
        <v/>
      </c>
      <c r="E25" s="15">
        <f>-Supuestos!$B$40</f>
        <v/>
      </c>
      <c r="F25" s="15">
        <f>-Supuestos!$B$40</f>
        <v/>
      </c>
      <c r="G25" s="15">
        <f>-Supuestos!$B$40</f>
        <v/>
      </c>
      <c r="H25" s="15">
        <f>-Supuestos!$B$40</f>
        <v/>
      </c>
      <c r="I25" s="15">
        <f>-Supuestos!$B$40</f>
        <v/>
      </c>
      <c r="J25" s="15">
        <f>-Supuestos!$B$40</f>
        <v/>
      </c>
      <c r="K25" s="15">
        <f>-Supuestos!$B$40</f>
        <v/>
      </c>
      <c r="L25" s="15">
        <f>-Supuestos!$B$40</f>
        <v/>
      </c>
      <c r="M25" s="15">
        <f>-Supuestos!$B$40</f>
        <v/>
      </c>
      <c r="N25" s="16">
        <f>SUM(B25:M25)</f>
        <v/>
      </c>
    </row>
    <row r="26">
      <c r="A26" s="4" t="inlineStr">
        <is>
          <t xml:space="preserve">  Liquidación de IVA (trimestral)</t>
        </is>
      </c>
      <c r="B26" s="15">
        <f>0</f>
        <v/>
      </c>
      <c r="C26" s="15">
        <f>0</f>
        <v/>
      </c>
      <c r="D26" s="15">
        <f>0</f>
        <v/>
      </c>
      <c r="E26" s="15">
        <f>-MAX(0,SUM(B17:D17)+SUM(B22:D22)*Supuestos!$B$37/(1+Supuestos!$B$37)+SUM(B23:D23)*Supuestos!$B$37/(1+Supuestos!$B$37))</f>
        <v/>
      </c>
      <c r="F26" s="15">
        <f>0</f>
        <v/>
      </c>
      <c r="G26" s="15">
        <f>0</f>
        <v/>
      </c>
      <c r="H26" s="15">
        <f>-MAX(0,SUM(E17:G17)+SUM(E22:G22)*Supuestos!$B$37/(1+Supuestos!$B$37)+SUM(E23:G23)*Supuestos!$B$37/(1+Supuestos!$B$37))</f>
        <v/>
      </c>
      <c r="I26" s="15">
        <f>0</f>
        <v/>
      </c>
      <c r="J26" s="15">
        <f>0</f>
        <v/>
      </c>
      <c r="K26" s="15">
        <f>-MAX(0,SUM(H17:J17)+SUM(H22:J22)*Supuestos!$B$37/(1+Supuestos!$B$37)+SUM(H23:J23)*Supuestos!$B$37/(1+Supuestos!$B$37))</f>
        <v/>
      </c>
      <c r="L26" s="15">
        <f>0</f>
        <v/>
      </c>
      <c r="M26" s="15">
        <f>0</f>
        <v/>
      </c>
      <c r="N26" s="16">
        <f>SUM(B26:M26)</f>
        <v/>
      </c>
    </row>
    <row r="27">
      <c r="A27" s="2" t="inlineStr">
        <is>
          <t>TOTAL PAGOS</t>
        </is>
      </c>
      <c r="B27" s="16">
        <f>SUM(B22:B26)</f>
        <v/>
      </c>
      <c r="C27" s="16">
        <f>SUM(C22:C26)</f>
        <v/>
      </c>
      <c r="D27" s="16">
        <f>SUM(D22:D26)</f>
        <v/>
      </c>
      <c r="E27" s="16">
        <f>SUM(E22:E26)</f>
        <v/>
      </c>
      <c r="F27" s="16">
        <f>SUM(F22:F26)</f>
        <v/>
      </c>
      <c r="G27" s="16">
        <f>SUM(G22:G26)</f>
        <v/>
      </c>
      <c r="H27" s="16">
        <f>SUM(H22:H26)</f>
        <v/>
      </c>
      <c r="I27" s="16">
        <f>SUM(I22:I26)</f>
        <v/>
      </c>
      <c r="J27" s="16">
        <f>SUM(J22:J26)</f>
        <v/>
      </c>
      <c r="K27" s="16">
        <f>SUM(K22:K26)</f>
        <v/>
      </c>
      <c r="L27" s="16">
        <f>SUM(L22:L26)</f>
        <v/>
      </c>
      <c r="M27" s="16">
        <f>SUM(M22:M26)</f>
        <v/>
      </c>
      <c r="N27" s="11">
        <f>SUM(B27:M27)</f>
        <v/>
      </c>
    </row>
    <row r="29">
      <c r="A29" s="14" t="inlineStr">
        <is>
          <t>CAJA</t>
        </is>
      </c>
    </row>
    <row r="30">
      <c r="A30" s="4" t="inlineStr">
        <is>
          <t>Saldo inicial del mes</t>
        </is>
      </c>
      <c r="B30" s="15">
        <f>Supuestos!$B$34</f>
        <v/>
      </c>
      <c r="C30" s="15">
        <f>B32</f>
        <v/>
      </c>
      <c r="D30" s="15">
        <f>C32</f>
        <v/>
      </c>
      <c r="E30" s="15">
        <f>D32</f>
        <v/>
      </c>
      <c r="F30" s="15">
        <f>E32</f>
        <v/>
      </c>
      <c r="G30" s="15">
        <f>F32</f>
        <v/>
      </c>
      <c r="H30" s="15">
        <f>G32</f>
        <v/>
      </c>
      <c r="I30" s="15">
        <f>H32</f>
        <v/>
      </c>
      <c r="J30" s="15">
        <f>I32</f>
        <v/>
      </c>
      <c r="K30" s="15">
        <f>J32</f>
        <v/>
      </c>
      <c r="L30" s="15">
        <f>K32</f>
        <v/>
      </c>
      <c r="M30" s="15">
        <f>L32</f>
        <v/>
      </c>
    </row>
    <row r="31">
      <c r="A31" s="4" t="inlineStr">
        <is>
          <t>Movimiento del mes</t>
        </is>
      </c>
      <c r="B31" s="15">
        <f>B19+B27</f>
        <v/>
      </c>
      <c r="C31" s="15">
        <f>C19+C27</f>
        <v/>
      </c>
      <c r="D31" s="15">
        <f>D19+D27</f>
        <v/>
      </c>
      <c r="E31" s="15">
        <f>E19+E27</f>
        <v/>
      </c>
      <c r="F31" s="15">
        <f>F19+F27</f>
        <v/>
      </c>
      <c r="G31" s="15">
        <f>G19+G27</f>
        <v/>
      </c>
      <c r="H31" s="15">
        <f>H19+H27</f>
        <v/>
      </c>
      <c r="I31" s="15">
        <f>I19+I27</f>
        <v/>
      </c>
      <c r="J31" s="15">
        <f>J19+J27</f>
        <v/>
      </c>
      <c r="K31" s="15">
        <f>K19+K27</f>
        <v/>
      </c>
      <c r="L31" s="15">
        <f>L19+L27</f>
        <v/>
      </c>
      <c r="M31" s="15">
        <f>M19+M27</f>
        <v/>
      </c>
      <c r="N31" s="16">
        <f>SUM(B31:M31)</f>
        <v/>
      </c>
    </row>
    <row r="32">
      <c r="A32" s="2" t="inlineStr">
        <is>
          <t>SALDO FINAL DEL MES</t>
        </is>
      </c>
      <c r="B32" s="11">
        <f>B30+B31</f>
        <v/>
      </c>
      <c r="C32" s="11">
        <f>C30+C31</f>
        <v/>
      </c>
      <c r="D32" s="11">
        <f>D30+D31</f>
        <v/>
      </c>
      <c r="E32" s="11">
        <f>E30+E31</f>
        <v/>
      </c>
      <c r="F32" s="11">
        <f>F30+F31</f>
        <v/>
      </c>
      <c r="G32" s="11">
        <f>G30+G31</f>
        <v/>
      </c>
      <c r="H32" s="11">
        <f>H30+H31</f>
        <v/>
      </c>
      <c r="I32" s="11">
        <f>I30+I31</f>
        <v/>
      </c>
      <c r="J32" s="11">
        <f>J30+J31</f>
        <v/>
      </c>
      <c r="K32" s="11">
        <f>K30+K31</f>
        <v/>
      </c>
      <c r="L32" s="11">
        <f>L30+L31</f>
        <v/>
      </c>
      <c r="M32" s="11">
        <f>M30+M31</f>
        <v/>
      </c>
      <c r="N32" s="11">
        <f>M32</f>
        <v/>
      </c>
    </row>
    <row r="34">
      <c r="A34" s="2" t="inlineStr">
        <is>
          <t>⚠ ¿NECESITAS DINERO ESTE MES?</t>
        </is>
      </c>
      <c r="B34" s="17">
        <f>IF(B32&lt;0,"FALTA","ok")</f>
        <v/>
      </c>
      <c r="C34" s="17">
        <f>IF(C32&lt;0,"FALTA","ok")</f>
        <v/>
      </c>
      <c r="D34" s="17">
        <f>IF(D32&lt;0,"FALTA","ok")</f>
        <v/>
      </c>
      <c r="E34" s="17">
        <f>IF(E32&lt;0,"FALTA","ok")</f>
        <v/>
      </c>
      <c r="F34" s="17">
        <f>IF(F32&lt;0,"FALTA","ok")</f>
        <v/>
      </c>
      <c r="G34" s="17">
        <f>IF(G32&lt;0,"FALTA","ok")</f>
        <v/>
      </c>
      <c r="H34" s="17">
        <f>IF(H32&lt;0,"FALTA","ok")</f>
        <v/>
      </c>
      <c r="I34" s="17">
        <f>IF(I32&lt;0,"FALTA","ok")</f>
        <v/>
      </c>
      <c r="J34" s="17">
        <f>IF(J32&lt;0,"FALTA","ok")</f>
        <v/>
      </c>
      <c r="K34" s="17">
        <f>IF(K32&lt;0,"FALTA","ok")</f>
        <v/>
      </c>
      <c r="L34" s="17">
        <f>IF(L32&lt;0,"FALTA","ok")</f>
        <v/>
      </c>
      <c r="M34" s="17">
        <f>IF(M32&lt;0,"FALTA","ok")</f>
        <v/>
      </c>
    </row>
    <row r="36">
      <c r="A36" s="2" t="inlineStr">
        <is>
          <t>Caja mínima del año</t>
        </is>
      </c>
      <c r="B36" s="16">
        <f>MIN(B32:M32)</f>
        <v/>
      </c>
    </row>
    <row r="37">
      <c r="A37" s="2" t="inlineStr">
        <is>
          <t>Colchón que necesitarías para no entrar en negativo</t>
        </is>
      </c>
      <c r="B37" s="18">
        <f>IF(B36&gt;=0,0,-B36)</f>
        <v/>
      </c>
    </row>
    <row r="38">
      <c r="A38" s="2" t="inlineStr">
        <is>
          <t>Meses en negativo</t>
        </is>
      </c>
      <c r="B38" s="19">
        <f>COUNTIF(B32:M32,"&lt;0")</f>
        <v/>
      </c>
    </row>
  </sheetData>
  <mergeCells count="1">
    <mergeCell ref="A1:O1"/>
  </mergeCells>
  <conditionalFormatting sqref="B32:M32">
    <cfRule type="cellIs" priority="1" operator="lessThan" dxfId="0">
      <formula>0</formula>
    </cfRule>
  </conditionalFormatting>
  <conditionalFormatting sqref="B34:M34">
    <cfRule type="cellIs" priority="2" operator="equal" dxfId="0">
      <formula>"FALTA"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 xml:space="preserve">  CARTERA RECURRENTE — altas, bajas y clientes activos</t>
        </is>
      </c>
    </row>
    <row r="3">
      <c r="B3" s="3" t="inlineStr">
        <is>
          <t>Mes 1</t>
        </is>
      </c>
      <c r="C3" s="3" t="inlineStr">
        <is>
          <t>Mes 2</t>
        </is>
      </c>
      <c r="D3" s="3" t="inlineStr">
        <is>
          <t>Mes 3</t>
        </is>
      </c>
      <c r="E3" s="3" t="inlineStr">
        <is>
          <t>Mes 4</t>
        </is>
      </c>
      <c r="F3" s="3" t="inlineStr">
        <is>
          <t>Mes 5</t>
        </is>
      </c>
      <c r="G3" s="3" t="inlineStr">
        <is>
          <t>Mes 6</t>
        </is>
      </c>
      <c r="H3" s="3" t="inlineStr">
        <is>
          <t>Mes 7</t>
        </is>
      </c>
      <c r="I3" s="3" t="inlineStr">
        <is>
          <t>Mes 8</t>
        </is>
      </c>
      <c r="J3" s="3" t="inlineStr">
        <is>
          <t>Mes 9</t>
        </is>
      </c>
      <c r="K3" s="3" t="inlineStr">
        <is>
          <t>Mes 10</t>
        </is>
      </c>
      <c r="L3" s="3" t="inlineStr">
        <is>
          <t>Mes 11</t>
        </is>
      </c>
      <c r="M3" s="3" t="inlineStr">
        <is>
          <t>Mes 12</t>
        </is>
      </c>
    </row>
    <row r="4">
      <c r="A4" s="2" t="inlineStr">
        <is>
          <t>MANTENIMIENTO (60 €/mes)</t>
        </is>
      </c>
    </row>
    <row r="5">
      <c r="A5" s="4" t="inlineStr">
        <is>
          <t xml:space="preserve">  Altas del mes</t>
        </is>
      </c>
      <c r="B5" s="20">
        <f>INDEX(Supuestos!$B$16:$D$16,Supuestos!$C$19-1)*Supuestos!B$46*12</f>
        <v/>
      </c>
      <c r="C5" s="20">
        <f>INDEX(Supuestos!$B$16:$D$16,Supuestos!$C$19-1)*Supuestos!C$46*12</f>
        <v/>
      </c>
      <c r="D5" s="20">
        <f>INDEX(Supuestos!$B$16:$D$16,Supuestos!$C$19-1)*Supuestos!D$46*12</f>
        <v/>
      </c>
      <c r="E5" s="20">
        <f>INDEX(Supuestos!$B$16:$D$16,Supuestos!$C$19-1)*Supuestos!E$46*12</f>
        <v/>
      </c>
      <c r="F5" s="20">
        <f>INDEX(Supuestos!$B$16:$D$16,Supuestos!$C$19-1)*Supuestos!F$46*12</f>
        <v/>
      </c>
      <c r="G5" s="20">
        <f>INDEX(Supuestos!$B$16:$D$16,Supuestos!$C$19-1)*Supuestos!G$46*12</f>
        <v/>
      </c>
      <c r="H5" s="20">
        <f>INDEX(Supuestos!$B$16:$D$16,Supuestos!$C$19-1)*Supuestos!H$46*12</f>
        <v/>
      </c>
      <c r="I5" s="20">
        <f>INDEX(Supuestos!$B$16:$D$16,Supuestos!$C$19-1)*Supuestos!I$46*12</f>
        <v/>
      </c>
      <c r="J5" s="20">
        <f>INDEX(Supuestos!$B$16:$D$16,Supuestos!$C$19-1)*Supuestos!J$46*12</f>
        <v/>
      </c>
      <c r="K5" s="20">
        <f>INDEX(Supuestos!$B$16:$D$16,Supuestos!$C$19-1)*Supuestos!K$46*12</f>
        <v/>
      </c>
      <c r="L5" s="20">
        <f>INDEX(Supuestos!$B$16:$D$16,Supuestos!$C$19-1)*Supuestos!L$46*12</f>
        <v/>
      </c>
      <c r="M5" s="20">
        <f>INDEX(Supuestos!$B$16:$D$16,Supuestos!$C$19-1)*Supuestos!M$46*12</f>
        <v/>
      </c>
    </row>
    <row r="6">
      <c r="A6" s="4" t="inlineStr">
        <is>
          <t xml:space="preserve">  Bajas del mes</t>
        </is>
      </c>
      <c r="B6" s="20">
        <f>0</f>
        <v/>
      </c>
      <c r="C6" s="20">
        <f>-B7*Supuestos!$B$39</f>
        <v/>
      </c>
      <c r="D6" s="20">
        <f>-C7*Supuestos!$B$39</f>
        <v/>
      </c>
      <c r="E6" s="20">
        <f>-D7*Supuestos!$B$39</f>
        <v/>
      </c>
      <c r="F6" s="20">
        <f>-E7*Supuestos!$B$39</f>
        <v/>
      </c>
      <c r="G6" s="20">
        <f>-F7*Supuestos!$B$39</f>
        <v/>
      </c>
      <c r="H6" s="20">
        <f>-G7*Supuestos!$B$39</f>
        <v/>
      </c>
      <c r="I6" s="20">
        <f>-H7*Supuestos!$B$39</f>
        <v/>
      </c>
      <c r="J6" s="20">
        <f>-I7*Supuestos!$B$39</f>
        <v/>
      </c>
      <c r="K6" s="20">
        <f>-J7*Supuestos!$B$39</f>
        <v/>
      </c>
      <c r="L6" s="20">
        <f>-K7*Supuestos!$B$39</f>
        <v/>
      </c>
      <c r="M6" s="20">
        <f>-L7*Supuestos!$B$39</f>
        <v/>
      </c>
    </row>
    <row r="7">
      <c r="A7" s="2" t="inlineStr">
        <is>
          <t>CLIENTES ACTIVOS</t>
        </is>
      </c>
      <c r="B7" s="21">
        <f>B5+B6</f>
        <v/>
      </c>
      <c r="C7" s="21">
        <f>B7+C5+C6</f>
        <v/>
      </c>
      <c r="D7" s="21">
        <f>C7+D5+D6</f>
        <v/>
      </c>
      <c r="E7" s="21">
        <f>D7+E5+E6</f>
        <v/>
      </c>
      <c r="F7" s="21">
        <f>E7+F5+F6</f>
        <v/>
      </c>
      <c r="G7" s="21">
        <f>F7+G5+G6</f>
        <v/>
      </c>
      <c r="H7" s="21">
        <f>G7+H5+H6</f>
        <v/>
      </c>
      <c r="I7" s="21">
        <f>H7+I5+I6</f>
        <v/>
      </c>
      <c r="J7" s="21">
        <f>I7+J5+J6</f>
        <v/>
      </c>
      <c r="K7" s="21">
        <f>J7+K5+K6</f>
        <v/>
      </c>
      <c r="L7" s="21">
        <f>K7+L5+L6</f>
        <v/>
      </c>
      <c r="M7" s="21">
        <f>L7+M5+M6</f>
        <v/>
      </c>
    </row>
    <row r="10">
      <c r="A10" s="2" t="inlineStr">
        <is>
          <t>SEO LOCAL (250 €/mes)</t>
        </is>
      </c>
    </row>
    <row r="11">
      <c r="A11" s="4" t="inlineStr">
        <is>
          <t xml:space="preserve">  Altas del mes</t>
        </is>
      </c>
      <c r="B11" s="20">
        <f>INDEX(Supuestos!$B$17:$D$17,Supuestos!$C$19-1)*Supuestos!B$46*12</f>
        <v/>
      </c>
      <c r="C11" s="20">
        <f>INDEX(Supuestos!$B$17:$D$17,Supuestos!$C$19-1)*Supuestos!C$46*12</f>
        <v/>
      </c>
      <c r="D11" s="20">
        <f>INDEX(Supuestos!$B$17:$D$17,Supuestos!$C$19-1)*Supuestos!D$46*12</f>
        <v/>
      </c>
      <c r="E11" s="20">
        <f>INDEX(Supuestos!$B$17:$D$17,Supuestos!$C$19-1)*Supuestos!E$46*12</f>
        <v/>
      </c>
      <c r="F11" s="20">
        <f>INDEX(Supuestos!$B$17:$D$17,Supuestos!$C$19-1)*Supuestos!F$46*12</f>
        <v/>
      </c>
      <c r="G11" s="20">
        <f>INDEX(Supuestos!$B$17:$D$17,Supuestos!$C$19-1)*Supuestos!G$46*12</f>
        <v/>
      </c>
      <c r="H11" s="20">
        <f>INDEX(Supuestos!$B$17:$D$17,Supuestos!$C$19-1)*Supuestos!H$46*12</f>
        <v/>
      </c>
      <c r="I11" s="20">
        <f>INDEX(Supuestos!$B$17:$D$17,Supuestos!$C$19-1)*Supuestos!I$46*12</f>
        <v/>
      </c>
      <c r="J11" s="20">
        <f>INDEX(Supuestos!$B$17:$D$17,Supuestos!$C$19-1)*Supuestos!J$46*12</f>
        <v/>
      </c>
      <c r="K11" s="20">
        <f>INDEX(Supuestos!$B$17:$D$17,Supuestos!$C$19-1)*Supuestos!K$46*12</f>
        <v/>
      </c>
      <c r="L11" s="20">
        <f>INDEX(Supuestos!$B$17:$D$17,Supuestos!$C$19-1)*Supuestos!L$46*12</f>
        <v/>
      </c>
      <c r="M11" s="20">
        <f>INDEX(Supuestos!$B$17:$D$17,Supuestos!$C$19-1)*Supuestos!M$46*12</f>
        <v/>
      </c>
    </row>
    <row r="12">
      <c r="A12" s="4" t="inlineStr">
        <is>
          <t xml:space="preserve">  Bajas del mes</t>
        </is>
      </c>
      <c r="B12" s="20">
        <f>0</f>
        <v/>
      </c>
      <c r="C12" s="20">
        <f>-B13*Supuestos!$B$39</f>
        <v/>
      </c>
      <c r="D12" s="20">
        <f>-C13*Supuestos!$B$39</f>
        <v/>
      </c>
      <c r="E12" s="20">
        <f>-D13*Supuestos!$B$39</f>
        <v/>
      </c>
      <c r="F12" s="20">
        <f>-E13*Supuestos!$B$39</f>
        <v/>
      </c>
      <c r="G12" s="20">
        <f>-F13*Supuestos!$B$39</f>
        <v/>
      </c>
      <c r="H12" s="20">
        <f>-G13*Supuestos!$B$39</f>
        <v/>
      </c>
      <c r="I12" s="20">
        <f>-H13*Supuestos!$B$39</f>
        <v/>
      </c>
      <c r="J12" s="20">
        <f>-I13*Supuestos!$B$39</f>
        <v/>
      </c>
      <c r="K12" s="20">
        <f>-J13*Supuestos!$B$39</f>
        <v/>
      </c>
      <c r="L12" s="20">
        <f>-K13*Supuestos!$B$39</f>
        <v/>
      </c>
      <c r="M12" s="20">
        <f>-L13*Supuestos!$B$39</f>
        <v/>
      </c>
    </row>
    <row r="13">
      <c r="A13" s="2" t="inlineStr">
        <is>
          <t>CLIENTES ACTIVOS</t>
        </is>
      </c>
      <c r="B13" s="21">
        <f>B11+B12</f>
        <v/>
      </c>
      <c r="C13" s="21">
        <f>B13+C11+C12</f>
        <v/>
      </c>
      <c r="D13" s="21">
        <f>C13+D11+D12</f>
        <v/>
      </c>
      <c r="E13" s="21">
        <f>D13+E11+E12</f>
        <v/>
      </c>
      <c r="F13" s="21">
        <f>E13+F11+F12</f>
        <v/>
      </c>
      <c r="G13" s="21">
        <f>F13+G11+G12</f>
        <v/>
      </c>
      <c r="H13" s="21">
        <f>G13+H11+H12</f>
        <v/>
      </c>
      <c r="I13" s="21">
        <f>H13+I11+I12</f>
        <v/>
      </c>
      <c r="J13" s="21">
        <f>I13+J11+J12</f>
        <v/>
      </c>
      <c r="K13" s="21">
        <f>J13+K11+K12</f>
        <v/>
      </c>
      <c r="L13" s="21">
        <f>K13+L11+L12</f>
        <v/>
      </c>
      <c r="M13" s="21">
        <f>L13+M11+M12</f>
        <v/>
      </c>
    </row>
    <row r="16">
      <c r="A16" s="2" t="inlineStr">
        <is>
          <t>Ingreso recurrente del mes 12</t>
        </is>
      </c>
      <c r="B16" s="16">
        <f>M7*Supuestos!$B$8+M13*Supuestos!$B$9</f>
        <v/>
      </c>
    </row>
    <row r="17">
      <c r="A17" s="2" t="inlineStr">
        <is>
          <t>Peso del recurrente sobre las ventas del año</t>
        </is>
      </c>
      <c r="B17" s="13">
        <f>IF('Rampa mensual'!N10=0,0,SUM('Rampa mensual'!N8:N9)/'Rampa mensual'!N10)</f>
        <v/>
      </c>
    </row>
    <row r="19">
      <c r="A19" s="2" t="inlineStr">
        <is>
          <t>Cada cliente de mantenimiento vale, a 12 meses:</t>
        </is>
      </c>
      <c r="B19" s="16">
        <f>Supuestos!$B$8*12</f>
        <v/>
      </c>
    </row>
    <row r="20">
      <c r="A20" s="2" t="inlineStr">
        <is>
          <t>Cada cliente de SEO vale, a 12 meses:</t>
        </is>
      </c>
      <c r="B20" s="16">
        <f>Supuestos!$B$9*12</f>
        <v/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 xml:space="preserve">  LOS TRES ESCENARIOS, LADO A LADO</t>
        </is>
      </c>
    </row>
    <row r="3" ht="30" customHeight="1">
      <c r="A3" s="7" t="inlineStr">
        <is>
          <t>Cambia "ESCENARIO ACTIVO" en la hoja Supuestos y apunta aquí el resultado. El libro recalcula solo, pero esta tabla es manual a propósito: sirve para comparar los tres de un vistazo.</t>
        </is>
      </c>
    </row>
    <row r="5">
      <c r="A5" s="3" t="inlineStr"/>
      <c r="B5" s="3" t="inlineStr">
        <is>
          <t>Pesimista</t>
        </is>
      </c>
      <c r="C5" s="3" t="inlineStr">
        <is>
          <t>Previsto</t>
        </is>
      </c>
      <c r="D5" s="3" t="inlineStr">
        <is>
          <t>Optimista</t>
        </is>
      </c>
    </row>
    <row r="6">
      <c r="A6" s="4" t="inlineStr">
        <is>
          <t>Ventas del año (sin IVA)</t>
        </is>
      </c>
      <c r="B6" s="5" t="n"/>
      <c r="C6" s="5" t="n"/>
      <c r="D6" s="5" t="n"/>
      <c r="F6" s="10" t="inlineStr">
        <is>
          <t>← Rellena a mano tras probar cada escenario</t>
        </is>
      </c>
    </row>
    <row r="7">
      <c r="A7" s="4" t="inlineStr">
        <is>
          <t>Caja mínima del año</t>
        </is>
      </c>
      <c r="B7" s="5" t="n"/>
      <c r="C7" s="5" t="n"/>
      <c r="D7" s="5" t="n"/>
    </row>
    <row r="8">
      <c r="A8" s="4" t="inlineStr">
        <is>
          <t>Meses en negativo</t>
        </is>
      </c>
      <c r="B8" s="22" t="n"/>
      <c r="C8" s="22" t="n"/>
      <c r="D8" s="22" t="n"/>
    </row>
    <row r="9">
      <c r="A9" s="4" t="inlineStr">
        <is>
          <t>Colchón necesario</t>
        </is>
      </c>
      <c r="B9" s="5" t="n"/>
      <c r="C9" s="5" t="n"/>
      <c r="D9" s="5" t="n"/>
    </row>
    <row r="10">
      <c r="A10" s="4" t="inlineStr">
        <is>
          <t>Clientes recurrentes al mes 12</t>
        </is>
      </c>
      <c r="B10" s="22" t="n"/>
      <c r="C10" s="22" t="n"/>
      <c r="D10" s="22" t="n"/>
    </row>
    <row r="11">
      <c r="A11" s="4" t="inlineStr">
        <is>
          <t>Peso del ingreso recurrente</t>
        </is>
      </c>
      <c r="B11" s="12" t="n"/>
      <c r="C11" s="12" t="n"/>
      <c r="D11" s="12" t="n"/>
    </row>
  </sheetData>
  <mergeCells count="2">
    <mergeCell ref="A3:D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26" customWidth="1" min="4" max="4"/>
    <col width="40" customWidth="1" min="5" max="5"/>
  </cols>
  <sheetData>
    <row r="1" ht="26" customHeight="1">
      <c r="A1" s="1" t="inlineStr">
        <is>
          <t xml:space="preserve">  CALENDARIO FISCAL — qué se presenta y cuándo</t>
        </is>
      </c>
    </row>
    <row r="3">
      <c r="A3" s="3" t="inlineStr">
        <is>
          <t>Cuándo</t>
        </is>
      </c>
      <c r="B3" s="3" t="inlineStr">
        <is>
          <t>Modelo</t>
        </is>
      </c>
      <c r="C3" s="3" t="inlineStr">
        <is>
          <t>Qué es</t>
        </is>
      </c>
      <c r="D3" s="3" t="inlineStr">
        <is>
          <t>Periodo que declara</t>
        </is>
      </c>
      <c r="E3" s="3" t="inlineStr">
        <is>
          <t>Notas</t>
        </is>
      </c>
    </row>
    <row r="4" ht="30" customHeight="1">
      <c r="A4" s="23" t="inlineStr">
        <is>
          <t>Antes de empezar</t>
        </is>
      </c>
      <c r="B4" s="23" t="inlineStr">
        <is>
          <t>036/037</t>
        </is>
      </c>
      <c r="C4" s="23" t="inlineStr">
        <is>
          <t>Alta censal en Hacienda: epígrafes de IAE, IVA e IRPF</t>
        </is>
      </c>
      <c r="D4" s="23" t="inlineStr">
        <is>
          <t>Una sola vez</t>
        </is>
      </c>
      <c r="E4" s="23" t="inlineStr">
        <is>
          <t>Declara aquí los METROS AFECTOS de tu casa o no podrás deducir suministros</t>
        </is>
      </c>
    </row>
    <row r="5" ht="30" customHeight="1">
      <c r="A5" s="23" t="inlineStr">
        <is>
          <t>Antes de empezar</t>
        </is>
      </c>
      <c r="B5" s="23" t="inlineStr">
        <is>
          <t>TA.0521</t>
        </is>
      </c>
      <c r="C5" s="23" t="inlineStr">
        <is>
          <t>Alta en el RETA (Seguridad Social)</t>
        </is>
      </c>
      <c r="D5" s="23" t="inlineStr">
        <is>
          <t>Una sola vez</t>
        </is>
      </c>
      <c r="E5" s="23" t="inlineStr">
        <is>
          <t>Hasta 60 días antes del inicio. Pide la TARIFA PLANA de 80 €/mes</t>
        </is>
      </c>
    </row>
    <row r="6" ht="30" customHeight="1">
      <c r="A6" s="23" t="inlineStr">
        <is>
          <t>1-20 abril</t>
        </is>
      </c>
      <c r="B6" s="23" t="inlineStr">
        <is>
          <t>303</t>
        </is>
      </c>
      <c r="C6" s="23" t="inlineStr">
        <is>
          <t>IVA del 1er trimestre</t>
        </is>
      </c>
      <c r="D6" s="23" t="inlineStr">
        <is>
          <t>Ene-Mar</t>
        </is>
      </c>
      <c r="E6" s="23" t="inlineStr">
        <is>
          <t>Siempre, aunque salga a cero</t>
        </is>
      </c>
    </row>
    <row r="7" ht="30" customHeight="1">
      <c r="A7" s="23" t="inlineStr">
        <is>
          <t>1-20 abril</t>
        </is>
      </c>
      <c r="B7" s="23" t="inlineStr">
        <is>
          <t>130</t>
        </is>
      </c>
      <c r="C7" s="23" t="inlineStr">
        <is>
          <t>Pago fraccionado del IRPF (20%)</t>
        </is>
      </c>
      <c r="D7" s="23" t="inlineStr">
        <is>
          <t>Ene-Mar</t>
        </is>
      </c>
      <c r="E7" s="23" t="inlineStr">
        <is>
          <t>SOLO si tu epígrafe es empresarial. Si es profesional y te retienen, no lo presentas</t>
        </is>
      </c>
    </row>
    <row r="8" ht="30" customHeight="1">
      <c r="A8" s="23" t="inlineStr">
        <is>
          <t>1-20 abril</t>
        </is>
      </c>
      <c r="B8" s="23" t="inlineStr">
        <is>
          <t>111</t>
        </is>
      </c>
      <c r="C8" s="23" t="inlineStr">
        <is>
          <t>Retenciones a profesionales</t>
        </is>
      </c>
      <c r="D8" s="23" t="inlineStr">
        <is>
          <t>Ene-Mar</t>
        </is>
      </c>
      <c r="E8" s="23" t="inlineStr">
        <is>
          <t>Solo si pagas facturas con retención</t>
        </is>
      </c>
    </row>
    <row r="9" ht="30" customHeight="1">
      <c r="A9" s="23" t="inlineStr">
        <is>
          <t>1-20 julio</t>
        </is>
      </c>
      <c r="B9" s="23" t="inlineStr">
        <is>
          <t>303 / 130 / 111</t>
        </is>
      </c>
      <c r="C9" s="23" t="inlineStr">
        <is>
          <t>Mismo trío</t>
        </is>
      </c>
      <c r="D9" s="23" t="inlineStr">
        <is>
          <t>Abr-Jun</t>
        </is>
      </c>
      <c r="E9" s="23" t="inlineStr"/>
    </row>
    <row r="10" ht="30" customHeight="1">
      <c r="A10" s="23" t="inlineStr">
        <is>
          <t>1-20 octubre</t>
        </is>
      </c>
      <c r="B10" s="23" t="inlineStr">
        <is>
          <t>303 / 130 / 111</t>
        </is>
      </c>
      <c r="C10" s="23" t="inlineStr">
        <is>
          <t>Mismo trío</t>
        </is>
      </c>
      <c r="D10" s="23" t="inlineStr">
        <is>
          <t>Jul-Sep</t>
        </is>
      </c>
      <c r="E10" s="23" t="inlineStr"/>
    </row>
    <row r="11" ht="30" customHeight="1">
      <c r="A11" s="23" t="inlineStr">
        <is>
          <t>1-30 enero</t>
        </is>
      </c>
      <c r="B11" s="23" t="inlineStr">
        <is>
          <t>303 / 130 / 111</t>
        </is>
      </c>
      <c r="C11" s="23" t="inlineStr">
        <is>
          <t>Mismo trío del 4º trimestre</t>
        </is>
      </c>
      <c r="D11" s="23" t="inlineStr">
        <is>
          <t>Oct-Dic</t>
        </is>
      </c>
      <c r="E11" s="23" t="inlineStr">
        <is>
          <t>Ojo: el plazo es hasta el día 30</t>
        </is>
      </c>
    </row>
    <row r="12" ht="30" customHeight="1">
      <c r="A12" s="23" t="inlineStr">
        <is>
          <t>1-30 enero</t>
        </is>
      </c>
      <c r="B12" s="23" t="inlineStr">
        <is>
          <t>390</t>
        </is>
      </c>
      <c r="C12" s="23" t="inlineStr">
        <is>
          <t>Resumen anual del IVA</t>
        </is>
      </c>
      <c r="D12" s="23" t="inlineStr">
        <is>
          <t>Todo el año</t>
        </is>
      </c>
      <c r="E12" s="23" t="inlineStr"/>
    </row>
    <row r="13" ht="30" customHeight="1">
      <c r="A13" s="23" t="inlineStr">
        <is>
          <t>1-31 enero</t>
        </is>
      </c>
      <c r="B13" s="23" t="inlineStr">
        <is>
          <t>190</t>
        </is>
      </c>
      <c r="C13" s="23" t="inlineStr">
        <is>
          <t>Resumen anual de retenciones</t>
        </is>
      </c>
      <c r="D13" s="23" t="inlineStr">
        <is>
          <t>Todo el año</t>
        </is>
      </c>
      <c r="E13" s="23" t="inlineStr">
        <is>
          <t>Solo si presentaste el 111</t>
        </is>
      </c>
    </row>
    <row r="14" ht="30" customHeight="1">
      <c r="A14" s="23" t="inlineStr">
        <is>
          <t>Febrero</t>
        </is>
      </c>
      <c r="B14" s="23" t="inlineStr">
        <is>
          <t>347</t>
        </is>
      </c>
      <c r="C14" s="23" t="inlineStr">
        <is>
          <t>Operaciones con terceros &gt; 3.005,06 €</t>
        </is>
      </c>
      <c r="D14" s="23" t="inlineStr">
        <is>
          <t>Año anterior</t>
        </is>
      </c>
      <c r="E14" s="23" t="inlineStr"/>
    </row>
    <row r="15" ht="30" customHeight="1">
      <c r="A15" s="23" t="inlineStr">
        <is>
          <t>Abril-junio</t>
        </is>
      </c>
      <c r="B15" s="23" t="inlineStr">
        <is>
          <t>100</t>
        </is>
      </c>
      <c r="C15" s="23" t="inlineStr">
        <is>
          <t>Declaración de la Renta</t>
        </is>
      </c>
      <c r="D15" s="23" t="inlineStr">
        <is>
          <t>Año anterior</t>
        </is>
      </c>
      <c r="E15" s="23" t="inlineStr">
        <is>
          <t>Aquí aplicas la REDUCCIÓN DEL 20% POR INICIO DE ACTIVIDAD</t>
        </is>
      </c>
    </row>
    <row r="16" ht="30" customHeight="1">
      <c r="A16" s="23" t="inlineStr">
        <is>
          <t>Mes 10 de actividad</t>
        </is>
      </c>
      <c r="B16" s="23" t="inlineStr">
        <is>
          <t>—</t>
        </is>
      </c>
      <c r="C16" s="23" t="inlineStr">
        <is>
          <t>Revisar si puedes prorrogar la tarifa plana</t>
        </is>
      </c>
      <c r="D16" s="23" t="inlineStr">
        <is>
          <t>—</t>
        </is>
      </c>
      <c r="E16" s="23" t="inlineStr">
        <is>
          <t>Si tu rendimiento neto va por debajo del SMI (1.184 €/mes), SOLICÍTALA. No es automática</t>
        </is>
      </c>
    </row>
    <row r="17" ht="30" customHeight="1">
      <c r="A17" s="23" t="inlineStr">
        <is>
          <t>Mes 12</t>
        </is>
      </c>
      <c r="B17" s="23" t="inlineStr">
        <is>
          <t>—</t>
        </is>
      </c>
      <c r="C17" s="23" t="inlineStr">
        <is>
          <t>Fin de la tarifa plana</t>
        </is>
      </c>
      <c r="D17" s="23" t="inlineStr">
        <is>
          <t>—</t>
        </is>
      </c>
      <c r="E17" s="23" t="inlineStr">
        <is>
          <t>La cuota pasa de 80 a unos 330 €/mes. Ten apartados 3.000 €</t>
        </is>
      </c>
    </row>
    <row r="18" ht="30" customHeight="1">
      <c r="A18" s="23" t="inlineStr">
        <is>
          <t>1 julio 2027</t>
        </is>
      </c>
      <c r="B18" s="23" t="inlineStr">
        <is>
          <t>Verifactu</t>
        </is>
      </c>
      <c r="C18" s="23" t="inlineStr">
        <is>
          <t>Factura verificable con software homologado</t>
        </is>
      </c>
      <c r="D18" s="23" t="inlineStr">
        <is>
          <t>—</t>
        </is>
      </c>
      <c r="E18" s="23" t="inlineStr">
        <is>
          <t>Obligatorio para autónomos desde esa fecha. Elige ya un programa adaptado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2026-08-02T07:10:32Z</dcterms:created>
  <dcterms:modified xsi:type="dcterms:W3CDTF">2026-08-02T07:10:32Z</dcterms:modified>
</cp:coreProperties>
</file>