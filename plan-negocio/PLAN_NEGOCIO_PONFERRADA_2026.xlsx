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ORTADA Y RESUMEN EJECUTIVO" sheetId="1" state="visible" r:id="rId1"/>
    <sheet name="POR QUÉ" sheetId="2" state="visible" r:id="rId2"/>
    <sheet name="PARA QUIÉN" sheetId="3" state="visible" r:id="rId3"/>
    <sheet name="CÓMO" sheetId="4" state="visible" r:id="rId4"/>
    <sheet name="EL QUÉ" sheetId="5" state="visible" r:id="rId5"/>
    <sheet name="CUÁNTO Y CUÁNDO" sheetId="6" state="visible" r:id="rId6"/>
  </sheets>
  <definedNames>
    <definedName name="Interes">#REF!</definedName>
    <definedName name="Capital">#REF!</definedName>
    <definedName name="Capital" localSheetId="5">#REF!</definedName>
    <definedName name="Interes" localSheetId="5">#REF!</definedName>
  </definedNames>
  <calcPr calcId="124519" fullCalcOnLoad="1"/>
</workbook>
</file>

<file path=xl/styles.xml><?xml version="1.0" encoding="utf-8"?>
<styleSheet xmlns="http://schemas.openxmlformats.org/spreadsheetml/2006/main">
  <numFmts count="8">
    <numFmt numFmtId="164" formatCode="dd\-mm\-yy"/>
    <numFmt numFmtId="165" formatCode="[$-C0A]d\ &quot;de&quot;\ mmmm\ &quot;de&quot;\ yyyy"/>
    <numFmt numFmtId="166" formatCode="D/M/YYYY"/>
    <numFmt numFmtId="167" formatCode="0.0"/>
    <numFmt numFmtId="168" formatCode="#,##0.00\ &quot;€&quot;"/>
    <numFmt numFmtId="169" formatCode="#,##0_ ;[Red]\-#,##0\ "/>
    <numFmt numFmtId="170" formatCode="#,##0.00_ ;[Red]\-#,##0.00\ "/>
    <numFmt numFmtId="171" formatCode="0.00_ ;[Red]\-0.00\ "/>
  </numFmts>
  <fonts count="47">
    <font>
      <name val="Calibri"/>
      <color rgb="FF000000"/>
      <sz val="10"/>
      <scheme val="minor"/>
    </font>
    <font>
      <name val="Arial"/>
      <color theme="1"/>
      <sz val="10"/>
    </font>
    <font>
      <name val="Libre Franklin"/>
      <color rgb="FF7F7F7F"/>
      <sz val="24"/>
    </font>
    <font>
      <name val="Libre Franklin"/>
      <color rgb="FF7F7F7F"/>
      <sz val="20"/>
    </font>
    <font>
      <name val="Libre Franklin"/>
      <color rgb="FF7F7F7F"/>
      <sz val="12"/>
    </font>
    <font>
      <name val="Libre Franklin"/>
      <color rgb="FF7F7F7F"/>
      <sz val="14"/>
    </font>
    <font>
      <name val="Libre Franklin"/>
      <color rgb="FF5F497A"/>
      <sz val="14"/>
      <u val="single"/>
    </font>
    <font>
      <name val="Libre Franklin"/>
      <color rgb="FF7F7F7F"/>
      <sz val="9"/>
    </font>
    <font>
      <name val="Libre Franklin"/>
      <color rgb="FF7F7F7F"/>
      <sz val="11"/>
    </font>
    <font>
      <name val="Libre Franklin"/>
      <color rgb="FF7F7F7F"/>
      <sz val="11"/>
      <u val="single"/>
    </font>
    <font>
      <name val="Libre Franklin"/>
      <color rgb="FF7F7F7F"/>
      <sz val="9"/>
      <u val="single"/>
    </font>
    <font/>
    <font>
      <name val="Libre Franklin"/>
      <color rgb="FF7F7F7F"/>
      <sz val="14"/>
      <u val="single"/>
    </font>
    <font>
      <name val="Libre Franklin"/>
      <color rgb="FF7F7F7F"/>
      <sz val="14"/>
      <u val="single"/>
    </font>
    <font>
      <name val="Libre Franklin"/>
      <color rgb="FF5F497A"/>
      <sz val="14"/>
      <u val="single"/>
    </font>
    <font>
      <name val="Libre Franklin"/>
      <color rgb="FF7F7F7F"/>
      <sz val="14"/>
      <u val="single"/>
    </font>
    <font>
      <name val="Libre Franklin"/>
      <color rgb="FF7F7F7F"/>
      <sz val="14"/>
      <u val="single"/>
    </font>
    <font>
      <name val="Libre Franklin"/>
      <color rgb="FF7F7F7F"/>
      <sz val="18"/>
    </font>
    <font>
      <name val="Libre Franklin"/>
      <color rgb="FF7F7F7F"/>
      <sz val="10"/>
    </font>
    <font>
      <name val="Libre Franklin"/>
      <color rgb="FF808080"/>
      <sz val="12"/>
    </font>
    <font>
      <name val="Arial"/>
      <color rgb="FF7F7F7F"/>
      <sz val="10"/>
    </font>
    <font>
      <name val="Arial"/>
      <color rgb="FF7F7F7F"/>
      <sz val="9"/>
    </font>
    <font>
      <name val="Libre Franklin"/>
      <color rgb="FF7F7F7F"/>
      <sz val="8"/>
    </font>
    <font>
      <name val="Libre Franklin"/>
      <color rgb="FF0000FF"/>
      <sz val="12"/>
      <u val="single"/>
    </font>
    <font>
      <name val="Libre Franklin"/>
      <b val="1"/>
      <color rgb="FF7F7F7F"/>
      <sz val="10"/>
    </font>
    <font>
      <name val="Arial"/>
      <color rgb="FF0070C0"/>
      <sz val="12"/>
    </font>
    <font>
      <name val="Mv boli"/>
      <color rgb="FF0070C0"/>
      <sz val="12"/>
    </font>
    <font>
      <name val="Libre Franklin"/>
      <color rgb="FF7F7F7F"/>
      <sz val="16"/>
    </font>
    <font>
      <name val="Arial"/>
      <b val="1"/>
      <color rgb="FFFF0000"/>
      <sz val="8"/>
    </font>
    <font>
      <name val="Arial"/>
      <color rgb="FFFF0000"/>
      <sz val="10"/>
    </font>
    <font>
      <name val="Arial"/>
      <color theme="1"/>
      <sz val="12"/>
    </font>
    <font>
      <name val="Libre Franklin"/>
      <color theme="1"/>
      <sz val="12"/>
    </font>
    <font>
      <name val="Libre Franklin"/>
      <b val="1"/>
      <color rgb="FF7F7F7F"/>
      <sz val="12"/>
    </font>
    <font>
      <name val="Libre Franklin"/>
      <color rgb="FFFF0000"/>
      <sz val="9"/>
    </font>
    <font>
      <name val="Libre Franklin"/>
      <color rgb="FF7F7F7F"/>
      <sz val="7"/>
    </font>
    <font>
      <name val="Arial"/>
      <color theme="1"/>
      <sz val="7"/>
    </font>
    <font>
      <name val="Arial"/>
      <color rgb="FF7F7F7F"/>
      <sz val="7"/>
    </font>
    <font>
      <name val="Arial"/>
      <b val="1"/>
      <color rgb="FFFF0000"/>
      <sz val="10"/>
    </font>
    <font>
      <name val="Libre Franklin"/>
      <color theme="1"/>
      <sz val="8"/>
    </font>
    <font>
      <name val="Libre Franklin"/>
      <color rgb="FFFF0000"/>
      <sz val="8"/>
    </font>
    <font>
      <name val="Arial"/>
      <color rgb="FF7F7F7F"/>
      <sz val="8"/>
    </font>
    <font>
      <name val="Arial"/>
      <color theme="1"/>
      <sz val="8"/>
    </font>
    <font>
      <name val="Noto Sans Symbols"/>
      <color theme="1"/>
      <sz val="10"/>
    </font>
    <font>
      <name val="Libre Franklin"/>
      <color theme="1"/>
      <sz val="10"/>
    </font>
    <font>
      <name val="Libre Franklin"/>
      <b val="1"/>
      <color rgb="FF7F7F7F"/>
      <sz val="11"/>
      <u val="single"/>
    </font>
    <font>
      <name val="Libre Franklin"/>
      <b val="1"/>
      <color rgb="FF7F7F7F"/>
      <sz val="8"/>
    </font>
    <font>
      <name val="Libre Franklin"/>
      <b val="1"/>
      <color rgb="FF7F7F7F"/>
      <sz val="11"/>
    </font>
  </fonts>
  <fills count="5">
    <fill>
      <patternFill/>
    </fill>
    <fill>
      <patternFill patternType="lightGray"/>
    </fill>
    <fill>
      <patternFill patternType="solid">
        <fgColor rgb="FFC6D9F0"/>
        <bgColor rgb="FFC6D9F0"/>
      </patternFill>
    </fill>
    <fill>
      <patternFill patternType="solid">
        <fgColor rgb="FFF2F2F2"/>
        <bgColor rgb="FFF2F2F2"/>
      </patternFill>
    </fill>
    <fill>
      <patternFill patternType="solid">
        <fgColor rgb="FF8DB3E2"/>
        <bgColor rgb="FF8DB3E2"/>
      </patternFill>
    </fill>
  </fills>
  <borders count="172">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medium">
        <color rgb="FF000000"/>
      </left>
      <right/>
      <top/>
      <bottom/>
    </border>
    <border>
      <left/>
      <right style="medium">
        <color rgb="FF000000"/>
      </right>
      <top/>
      <bottom/>
    </border>
    <border>
      <left style="thin">
        <color rgb="FF000000"/>
      </left>
      <right/>
      <top/>
      <bottom/>
    </border>
    <border>
      <left/>
      <right style="thin">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top style="medium">
        <color rgb="FF000000"/>
      </top>
      <bottom/>
    </border>
    <border>
      <right/>
      <top style="medium">
        <color rgb="FF000000"/>
      </top>
      <bottom/>
    </border>
    <border>
      <left style="thin">
        <color rgb="FF000000"/>
      </left>
      <top style="medium">
        <color rgb="FF000000"/>
      </top>
      <bottom style="thin">
        <color rgb="FF000000"/>
      </bottom>
    </border>
    <border>
      <top style="medium">
        <color rgb="FF000000"/>
      </top>
      <bottom/>
    </border>
    <border>
      <right style="medium">
        <color rgb="FF000000"/>
      </right>
      <top style="medium">
        <color rgb="FF000000"/>
      </top>
      <bottom/>
    </border>
    <border>
      <left style="medium">
        <color rgb="FF000000"/>
      </left>
      <top/>
      <bottom style="thin">
        <color rgb="FF000000"/>
      </bottom>
    </border>
    <border>
      <right style="thin">
        <color rgb="FF000000"/>
      </right>
      <top/>
      <bottom style="thin">
        <color rgb="FF000000"/>
      </bottom>
    </border>
    <border>
      <left style="thin">
        <color rgb="FF000000"/>
      </left>
      <top/>
      <bottom/>
    </border>
    <border>
      <right style="thin">
        <color rgb="FF000000"/>
      </right>
      <top/>
      <bottom/>
    </border>
    <border>
      <top/>
      <bottom/>
    </border>
    <border>
      <right style="medium">
        <color rgb="FF000000"/>
      </right>
      <top/>
      <bottom/>
    </border>
    <border>
      <left style="medium">
        <color rgb="FF000000"/>
      </left>
      <top style="thin">
        <color rgb="FF000000"/>
      </top>
      <bottom/>
    </border>
    <border>
      <right/>
      <top style="thin">
        <color rgb="FF000000"/>
      </top>
      <bottom/>
    </border>
    <border>
      <left/>
      <top/>
      <bottom/>
    </border>
    <border>
      <right/>
      <top/>
      <bottom/>
    </border>
    <border>
      <left style="medium">
        <color rgb="FF000000"/>
      </left>
      <top/>
      <bottom/>
    </border>
    <border>
      <left style="medium">
        <color rgb="FF000000"/>
      </left>
      <top style="thin">
        <color rgb="FF000000"/>
      </top>
      <bottom style="thin">
        <color rgb="FF000000"/>
      </bottom>
    </border>
    <border>
      <left style="medium">
        <color rgb="FF000000"/>
      </left>
      <top/>
      <bottom style="medium">
        <color rgb="FF000000"/>
      </bottom>
    </border>
    <border>
      <top/>
      <bottom style="medium">
        <color rgb="FF000000"/>
      </bottom>
    </border>
    <border>
      <right/>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bottom style="medium">
        <color rgb="FF000000"/>
      </bottom>
    </border>
    <border>
      <right style="medium">
        <color rgb="FF000000"/>
      </right>
      <top/>
      <bottom style="medium">
        <color rgb="FF000000"/>
      </bottom>
    </border>
    <border>
      <left/>
      <right style="thin">
        <color rgb="FF000000"/>
      </right>
      <top/>
    </border>
    <border>
      <left style="thin">
        <color rgb="FF000000"/>
      </left>
      <right style="thin">
        <color rgb="FF000000"/>
      </right>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style="thin">
        <color rgb="FF000000"/>
      </right>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thin">
        <color rgb="FF000000"/>
      </left>
      <top/>
    </border>
    <border>
      <right style="thin">
        <color rgb="FF000000"/>
      </right>
      <top/>
    </border>
    <border>
      <left style="thin">
        <color rgb="FF000000"/>
      </left>
      <top style="medium">
        <color rgb="FF000000"/>
      </top>
    </border>
    <border>
      <right style="thin">
        <color rgb="FF000000"/>
      </right>
      <top style="medium">
        <color rgb="FF000000"/>
      </top>
    </border>
    <border>
      <top/>
    </border>
    <border>
      <left style="medium">
        <color rgb="FF000000"/>
      </left>
      <bottom/>
    </border>
    <border>
      <bottom/>
    </border>
    <border>
      <right style="medium">
        <color rgb="FF000000"/>
      </right>
      <bottom/>
    </border>
    <border>
      <left/>
      <right/>
      <top/>
    </border>
    <border>
      <left/>
      <right/>
    </border>
    <border>
      <left/>
      <right/>
      <bottom/>
    </border>
    <border>
      <left/>
      <top style="medium">
        <color rgb="FF000000"/>
      </top>
    </border>
    <border>
      <right style="thin">
        <color rgb="FF000000"/>
      </right>
      <bottom/>
    </border>
    <border>
      <left style="thin">
        <color rgb="FF000000"/>
      </left>
      <bottom/>
    </border>
    <border>
      <left/>
      <bottom/>
    </border>
    <border>
      <left style="medium">
        <color rgb="FF000000"/>
      </left>
      <top/>
    </border>
    <border>
      <right style="medium">
        <color rgb="FF000000"/>
      </right>
      <top/>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right style="thin">
        <color rgb="FF000000"/>
      </right>
      <bottom style="medium">
        <color rgb="FF000000"/>
      </bottom>
    </border>
    <border>
      <left style="thin">
        <color rgb="FF000000"/>
      </left>
      <bottom style="medium">
        <color rgb="FF000000"/>
      </bottom>
    </border>
    <border>
      <left/>
      <top/>
    </border>
    <border>
      <right/>
      <top/>
    </border>
    <border>
      <left/>
    </border>
    <border>
      <right/>
    </border>
    <border>
      <right/>
      <bottom/>
    </border>
    <border>
      <left/>
      <right/>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bottom style="thin">
        <color rgb="FF000000"/>
      </bottom>
    </border>
    <border>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right style="medium">
        <color rgb="FF000000"/>
      </right>
      <top/>
    </border>
    <border>
      <left/>
      <right style="medium">
        <color rgb="FF000000"/>
      </right>
    </border>
    <border>
      <left/>
      <right style="medium">
        <color rgb="FF000000"/>
      </right>
      <bottom style="thin">
        <color rgb="FF000000"/>
      </bottom>
    </border>
    <border>
      <left/>
      <right style="medium">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top style="thin">
        <color rgb="FF000000"/>
      </top>
      <bottom/>
    </border>
    <border>
      <lef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top style="thin">
        <color rgb="FF000000"/>
      </top>
      <bottom/>
    </border>
    <border>
      <left style="thin">
        <color rgb="FF000000"/>
      </lef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medium">
        <color rgb="FF000000"/>
      </left>
      <top style="medium">
        <color rgb="FF000000"/>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border>
    <border>
      <left style="medium">
        <color rgb="FF000000"/>
      </left>
      <right/>
      <top style="thin">
        <color rgb="FF000000"/>
      </top>
      <bottom/>
    </border>
    <border>
      <left style="thin">
        <color rgb="FF000000"/>
      </left>
      <right style="thin">
        <color rgb="FF000000"/>
      </right>
      <top style="thin">
        <color rgb="FF000000"/>
      </top>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style="medium">
        <color rgb="FF000000"/>
      </top>
      <bottom/>
    </border>
    <border>
      <left/>
      <right style="thin">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medium">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style="thin">
        <color rgb="FF000000"/>
      </top>
      <bottom/>
    </border>
    <border>
      <left style="medium">
        <color rgb="FF000000"/>
      </left>
      <right style="thin">
        <color rgb="FF000000"/>
      </right>
      <top/>
      <bottom style="medium">
        <color rgb="FF000000"/>
      </bottom>
    </border>
    <border>
      <left/>
      <right style="medium">
        <color rgb="FF000000"/>
      </right>
      <top style="thin">
        <color rgb="FF000000"/>
      </top>
      <bottom style="thin">
        <color rgb="FF000000"/>
      </bottom>
    </border>
    <border>
      <left style="medium">
        <color rgb="FF000000"/>
      </left>
      <right style="medium">
        <color rgb="FF000000"/>
      </right>
    </border>
    <border>
      <left style="thin">
        <color rgb="FF000000"/>
      </left>
      <right style="medium">
        <color rgb="FF000000"/>
      </right>
      <top style="medium">
        <color rgb="FF000000"/>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s>
  <cellStyleXfs count="1">
    <xf numFmtId="0" fontId="0" fillId="0" borderId="0"/>
  </cellStyleXfs>
  <cellXfs count="840">
    <xf numFmtId="0" fontId="0" fillId="0" borderId="0" applyAlignment="1" pivotButton="0" quotePrefix="0" xfId="0">
      <alignment vertical="bottom"/>
    </xf>
    <xf numFmtId="0" fontId="1" fillId="2" borderId="1"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right"/>
    </xf>
    <xf numFmtId="164" fontId="4" fillId="2" borderId="1" applyAlignment="1" pivotButton="0" quotePrefix="0" xfId="0">
      <alignment horizontal="left"/>
    </xf>
    <xf numFmtId="0" fontId="5" fillId="2" borderId="1" applyAlignment="1" pivotButton="0" quotePrefix="0" xfId="0">
      <alignment horizontal="right"/>
    </xf>
    <xf numFmtId="165" fontId="5" fillId="2" borderId="1" applyAlignment="1" pivotButton="0" quotePrefix="0" xfId="0">
      <alignment horizontal="left"/>
    </xf>
    <xf numFmtId="0" fontId="2" fillId="2" borderId="1" pivotButton="0" quotePrefix="0" xfId="0"/>
    <xf numFmtId="0" fontId="6" fillId="2" borderId="2" applyAlignment="1" pivotButton="0" quotePrefix="0" xfId="0">
      <alignment horizontal="left"/>
    </xf>
    <xf numFmtId="0" fontId="4" fillId="2" borderId="3" pivotButton="0" quotePrefix="0" xfId="0"/>
    <xf numFmtId="0" fontId="1" fillId="2" borderId="4" pivotButton="0" quotePrefix="0" xfId="0"/>
    <xf numFmtId="0" fontId="7" fillId="3" borderId="5" pivotButton="0" quotePrefix="0" xfId="0"/>
    <xf numFmtId="0" fontId="1" fillId="3" borderId="6" pivotButton="0" quotePrefix="0" xfId="0"/>
    <xf numFmtId="0" fontId="8" fillId="3" borderId="6" pivotButton="0" quotePrefix="0" xfId="0"/>
    <xf numFmtId="0" fontId="1" fillId="3" borderId="7" pivotButton="0" quotePrefix="0" xfId="0"/>
    <xf numFmtId="0" fontId="1" fillId="0" borderId="0" pivotButton="0" quotePrefix="0" xfId="0"/>
    <xf numFmtId="0" fontId="8" fillId="2" borderId="8" pivotButton="0" quotePrefix="0" xfId="0"/>
    <xf numFmtId="0" fontId="4" fillId="2" borderId="1" pivotButton="0" quotePrefix="0" xfId="0"/>
    <xf numFmtId="0" fontId="1" fillId="2" borderId="9" pivotButton="0" quotePrefix="0" xfId="0"/>
    <xf numFmtId="0" fontId="7" fillId="3" borderId="10" applyAlignment="1" pivotButton="0" quotePrefix="0" xfId="0">
      <alignment vertical="center"/>
    </xf>
    <xf numFmtId="0" fontId="1" fillId="3" borderId="1" pivotButton="0" quotePrefix="0" xfId="0"/>
    <xf numFmtId="0" fontId="8" fillId="3" borderId="1" pivotButton="0" quotePrefix="0" xfId="0"/>
    <xf numFmtId="0" fontId="1" fillId="3" borderId="11" pivotButton="0" quotePrefix="0" xfId="0"/>
    <xf numFmtId="0" fontId="7" fillId="3" borderId="10" pivotButton="0" quotePrefix="0" xfId="0"/>
    <xf numFmtId="0" fontId="8" fillId="2" borderId="12" pivotButton="0" quotePrefix="0" xfId="0"/>
    <xf numFmtId="0" fontId="4" fillId="2" borderId="13" pivotButton="0" quotePrefix="0" xfId="0"/>
    <xf numFmtId="0" fontId="1" fillId="2" borderId="14" pivotButton="0" quotePrefix="0" xfId="0"/>
    <xf numFmtId="0" fontId="7" fillId="3" borderId="15" pivotButton="0" quotePrefix="0" xfId="0"/>
    <xf numFmtId="0" fontId="1" fillId="3" borderId="16" pivotButton="0" quotePrefix="0" xfId="0"/>
    <xf numFmtId="0" fontId="8" fillId="3" borderId="16" pivotButton="0" quotePrefix="0" xfId="0"/>
    <xf numFmtId="0" fontId="1" fillId="3" borderId="17" pivotButton="0" quotePrefix="0" xfId="0"/>
    <xf numFmtId="0" fontId="9" fillId="2" borderId="1" applyAlignment="1" pivotButton="0" quotePrefix="0" xfId="0">
      <alignment vertical="center"/>
    </xf>
    <xf numFmtId="0" fontId="8" fillId="2" borderId="1" pivotButton="0" quotePrefix="0" xfId="0"/>
    <xf numFmtId="0" fontId="10" fillId="0" borderId="18" applyAlignment="1" pivotButton="0" quotePrefix="0" xfId="0">
      <alignment horizontal="center" vertical="center"/>
    </xf>
    <xf numFmtId="0" fontId="11" fillId="0" borderId="19" pivotButton="0" quotePrefix="0" xfId="0"/>
    <xf numFmtId="0" fontId="11" fillId="0" borderId="20" pivotButton="0" quotePrefix="0" xfId="0"/>
    <xf numFmtId="0" fontId="12" fillId="2" borderId="1" applyAlignment="1" pivotButton="0" quotePrefix="0" xfId="0">
      <alignment horizontal="left"/>
    </xf>
    <xf numFmtId="0" fontId="1" fillId="2" borderId="3" pivotButton="0" quotePrefix="0" xfId="0"/>
    <xf numFmtId="0" fontId="5" fillId="2" borderId="1" applyAlignment="1" pivotButton="0" quotePrefix="0" xfId="0">
      <alignment horizontal="left"/>
    </xf>
    <xf numFmtId="0" fontId="1" fillId="2" borderId="2" pivotButton="0" quotePrefix="0" xfId="0"/>
    <xf numFmtId="0" fontId="5" fillId="2" borderId="3" applyAlignment="1" pivotButton="0" quotePrefix="0" xfId="0">
      <alignment horizontal="center"/>
    </xf>
    <xf numFmtId="0" fontId="13" fillId="2" borderId="4" applyAlignment="1" pivotButton="0" quotePrefix="0" xfId="0">
      <alignment horizontal="right"/>
    </xf>
    <xf numFmtId="0" fontId="14" fillId="2" borderId="4" applyAlignment="1" pivotButton="0" quotePrefix="0" xfId="0">
      <alignment horizontal="right"/>
    </xf>
    <xf numFmtId="0" fontId="5" fillId="2" borderId="1" applyAlignment="1" pivotButton="0" quotePrefix="0" xfId="0">
      <alignment horizontal="center"/>
    </xf>
    <xf numFmtId="0" fontId="5" fillId="2" borderId="9" applyAlignment="1" pivotButton="0" quotePrefix="0" xfId="0">
      <alignment horizontal="center"/>
    </xf>
    <xf numFmtId="0" fontId="1" fillId="2" borderId="8" pivotButton="0" quotePrefix="0" xfId="0"/>
    <xf numFmtId="0" fontId="8" fillId="2" borderId="9" applyAlignment="1" pivotButton="0" quotePrefix="0" xfId="0">
      <alignment horizontal="right"/>
    </xf>
    <xf numFmtId="0" fontId="8" fillId="2" borderId="9" pivotButton="0" quotePrefix="0" xfId="0"/>
    <xf numFmtId="0" fontId="4" fillId="2" borderId="12" pivotButton="0" quotePrefix="0" xfId="0"/>
    <xf numFmtId="0" fontId="1" fillId="2" borderId="13" pivotButton="0" quotePrefix="0" xfId="0"/>
    <xf numFmtId="0" fontId="5" fillId="2" borderId="13" applyAlignment="1" pivotButton="0" quotePrefix="0" xfId="0">
      <alignment horizontal="center"/>
    </xf>
    <xf numFmtId="0" fontId="5" fillId="2" borderId="14" applyAlignment="1" pivotButton="0" quotePrefix="0" xfId="0">
      <alignment horizontal="center"/>
    </xf>
    <xf numFmtId="0" fontId="15" fillId="2" borderId="1" applyAlignment="1" pivotButton="0" quotePrefix="0" xfId="0">
      <alignment horizontal="center"/>
    </xf>
    <xf numFmtId="0" fontId="1" fillId="2" borderId="12" pivotButton="0" quotePrefix="0" xfId="0"/>
    <xf numFmtId="0" fontId="8" fillId="2" borderId="14" applyAlignment="1" pivotButton="0" quotePrefix="0" xfId="0">
      <alignment horizontal="right"/>
    </xf>
    <xf numFmtId="0" fontId="8" fillId="2" borderId="1" applyAlignment="1" pivotButton="0" quotePrefix="0" xfId="0">
      <alignment horizontal="right"/>
    </xf>
    <xf numFmtId="0" fontId="16" fillId="2" borderId="3" applyAlignment="1" pivotButton="0" quotePrefix="0" xfId="0">
      <alignment horizontal="center"/>
    </xf>
    <xf numFmtId="0" fontId="5" fillId="2" borderId="13" applyAlignment="1" pivotButton="0" quotePrefix="0" xfId="0">
      <alignment horizontal="left"/>
    </xf>
    <xf numFmtId="0" fontId="8" fillId="2" borderId="1" applyAlignment="1" pivotButton="0" quotePrefix="0" xfId="0">
      <alignment horizontal="right" vertical="center"/>
    </xf>
    <xf numFmtId="0" fontId="8" fillId="2" borderId="9" applyAlignment="1" pivotButton="0" quotePrefix="0" xfId="0">
      <alignment horizontal="right" vertical="center"/>
    </xf>
    <xf numFmtId="0" fontId="8" fillId="2" borderId="13" applyAlignment="1" pivotButton="0" quotePrefix="0" xfId="0">
      <alignment horizontal="right"/>
    </xf>
    <xf numFmtId="0" fontId="17" fillId="2" borderId="1" applyAlignment="1" pivotButton="0" quotePrefix="0" xfId="0">
      <alignment horizontal="center"/>
    </xf>
    <xf numFmtId="0" fontId="4" fillId="3" borderId="21" applyAlignment="1" pivotButton="0" quotePrefix="0" xfId="0">
      <alignment vertical="top" wrapText="1"/>
    </xf>
    <xf numFmtId="0" fontId="11" fillId="0" borderId="22" pivotButton="0" quotePrefix="0" xfId="0"/>
    <xf numFmtId="0" fontId="11" fillId="0" borderId="23" pivotButton="0" quotePrefix="0" xfId="0"/>
    <xf numFmtId="0" fontId="11" fillId="0" borderId="24" pivotButton="0" quotePrefix="0" xfId="0"/>
    <xf numFmtId="0" fontId="11" fillId="0" borderId="25" pivotButton="0" quotePrefix="0" xfId="0"/>
    <xf numFmtId="0" fontId="11" fillId="0" borderId="26" pivotButton="0" quotePrefix="0" xfId="0"/>
    <xf numFmtId="0" fontId="11" fillId="0" borderId="27" pivotButton="0" quotePrefix="0" xfId="0"/>
    <xf numFmtId="0" fontId="11" fillId="0" borderId="28" pivotButton="0" quotePrefix="0" xfId="0"/>
    <xf numFmtId="0" fontId="17" fillId="2" borderId="1" applyAlignment="1" pivotButton="0" quotePrefix="0" xfId="0">
      <alignment horizontal="left"/>
    </xf>
    <xf numFmtId="0" fontId="18" fillId="2" borderId="1" applyAlignment="1" pivotButton="0" quotePrefix="0" xfId="0">
      <alignment horizontal="right"/>
    </xf>
    <xf numFmtId="0" fontId="19" fillId="3" borderId="18" pivotButton="0" quotePrefix="0" xfId="0"/>
    <xf numFmtId="0" fontId="4" fillId="3" borderId="18" applyAlignment="1" pivotButton="0" quotePrefix="0" xfId="0">
      <alignment wrapText="1"/>
    </xf>
    <xf numFmtId="0" fontId="18" fillId="2" borderId="1" pivotButton="0" quotePrefix="0" xfId="0"/>
    <xf numFmtId="0" fontId="19" fillId="3" borderId="21" applyAlignment="1" pivotButton="0" quotePrefix="0" xfId="0">
      <alignment vertical="top" wrapText="1"/>
    </xf>
    <xf numFmtId="0" fontId="1" fillId="0" borderId="0" applyAlignment="1" pivotButton="0" quotePrefix="0" xfId="0">
      <alignment vertical="top"/>
    </xf>
    <xf numFmtId="0" fontId="18" fillId="3" borderId="18" pivotButton="0" quotePrefix="0" xfId="0"/>
    <xf numFmtId="0" fontId="18" fillId="3" borderId="18" applyAlignment="1" pivotButton="0" quotePrefix="0" xfId="0">
      <alignment wrapText="1"/>
    </xf>
    <xf numFmtId="0" fontId="18" fillId="3" borderId="21" applyAlignment="1" pivotButton="0" quotePrefix="0" xfId="0">
      <alignment vertical="top" wrapText="1"/>
    </xf>
    <xf numFmtId="0" fontId="1" fillId="3" borderId="21" applyAlignment="1" pivotButton="0" quotePrefix="0" xfId="0">
      <alignment wrapText="1"/>
    </xf>
    <xf numFmtId="0" fontId="1" fillId="2" borderId="1" applyAlignment="1" pivotButton="0" quotePrefix="0" xfId="0">
      <alignment vertical="top"/>
    </xf>
    <xf numFmtId="0" fontId="18" fillId="2" borderId="1" applyAlignment="1" pivotButton="0" quotePrefix="0" xfId="0">
      <alignment horizontal="center"/>
    </xf>
    <xf numFmtId="0" fontId="4" fillId="3" borderId="18" applyAlignment="1" pivotButton="0" quotePrefix="0" xfId="0">
      <alignment horizontal="center"/>
    </xf>
    <xf numFmtId="0" fontId="4" fillId="3" borderId="18" pivotButton="0" quotePrefix="0" xfId="0"/>
    <xf numFmtId="0" fontId="17" fillId="2" borderId="1" applyAlignment="1" pivotButton="0" quotePrefix="0" xfId="0">
      <alignment horizontal="center" vertical="center"/>
    </xf>
    <xf numFmtId="0" fontId="8" fillId="2" borderId="1" applyAlignment="1" pivotButton="0" quotePrefix="0" xfId="0">
      <alignment horizontal="right" vertical="top"/>
    </xf>
    <xf numFmtId="0" fontId="18" fillId="2" borderId="29" applyAlignment="1" pivotButton="0" quotePrefix="0" xfId="0">
      <alignment horizontal="left" vertical="center" wrapText="1"/>
    </xf>
    <xf numFmtId="0" fontId="11" fillId="0" borderId="30" pivotButton="0" quotePrefix="0" xfId="0"/>
    <xf numFmtId="0" fontId="11" fillId="0" borderId="31" pivotButton="0" quotePrefix="0" xfId="0"/>
    <xf numFmtId="0" fontId="11" fillId="0" borderId="32" pivotButton="0" quotePrefix="0" xfId="0"/>
    <xf numFmtId="0" fontId="11" fillId="0" borderId="33" pivotButton="0" quotePrefix="0" xfId="0"/>
    <xf numFmtId="0" fontId="11" fillId="0" borderId="34" pivotButton="0" quotePrefix="0" xfId="0"/>
    <xf numFmtId="0" fontId="11" fillId="0" borderId="35" pivotButton="0" quotePrefix="0" xfId="0"/>
    <xf numFmtId="0" fontId="11" fillId="0" borderId="36" pivotButton="0" quotePrefix="0" xfId="0"/>
    <xf numFmtId="49" fontId="18" fillId="2" borderId="29" applyAlignment="1" pivotButton="0" quotePrefix="0" xfId="0">
      <alignment horizontal="left" vertical="center" wrapText="1"/>
    </xf>
    <xf numFmtId="0" fontId="18" fillId="2" borderId="37" applyAlignment="1" pivotButton="0" quotePrefix="0" xfId="0">
      <alignment horizontal="right"/>
    </xf>
    <xf numFmtId="0" fontId="11" fillId="0" borderId="38" pivotButton="0" quotePrefix="0" xfId="0"/>
    <xf numFmtId="4" fontId="18" fillId="2" borderId="39" applyAlignment="1" pivotButton="0" quotePrefix="0" xfId="0">
      <alignment horizontal="center"/>
    </xf>
    <xf numFmtId="0" fontId="11" fillId="0" borderId="40" pivotButton="0" quotePrefix="0" xfId="0"/>
    <xf numFmtId="0" fontId="18" fillId="2" borderId="41" applyAlignment="1" pivotButton="0" quotePrefix="0" xfId="0">
      <alignment horizontal="right"/>
    </xf>
    <xf numFmtId="0" fontId="11" fillId="0" borderId="42" pivotButton="0" quotePrefix="0" xfId="0"/>
    <xf numFmtId="0" fontId="11" fillId="0" borderId="43" pivotButton="0" quotePrefix="0" xfId="0"/>
    <xf numFmtId="0" fontId="20" fillId="2" borderId="1" applyAlignment="1" pivotButton="0" quotePrefix="0" xfId="0">
      <alignment horizontal="right"/>
    </xf>
    <xf numFmtId="0" fontId="18" fillId="2" borderId="44" applyAlignment="1" pivotButton="0" quotePrefix="0" xfId="0">
      <alignment horizontal="right"/>
    </xf>
    <xf numFmtId="0" fontId="11" fillId="0" borderId="45" pivotButton="0" quotePrefix="0" xfId="0"/>
    <xf numFmtId="4" fontId="18" fillId="2" borderId="46" applyAlignment="1" pivotButton="0" quotePrefix="0" xfId="0">
      <alignment horizontal="center"/>
    </xf>
    <xf numFmtId="0" fontId="11" fillId="0" borderId="47" pivotButton="0" quotePrefix="0" xfId="0"/>
    <xf numFmtId="0" fontId="18" fillId="2" borderId="18" applyAlignment="1" pivotButton="0" quotePrefix="0" xfId="0">
      <alignment horizontal="right"/>
    </xf>
    <xf numFmtId="0" fontId="11" fillId="0" borderId="48" pivotButton="0" quotePrefix="0" xfId="0"/>
    <xf numFmtId="0" fontId="11" fillId="0" borderId="49" pivotButton="0" quotePrefix="0" xfId="0"/>
    <xf numFmtId="0" fontId="20" fillId="2" borderId="50" applyAlignment="1" pivotButton="0" quotePrefix="0" xfId="0">
      <alignment horizontal="right"/>
    </xf>
    <xf numFmtId="0" fontId="11" fillId="0" borderId="51" pivotButton="0" quotePrefix="0" xfId="0"/>
    <xf numFmtId="4" fontId="18" fillId="2" borderId="52" applyAlignment="1" pivotButton="0" quotePrefix="0" xfId="0">
      <alignment horizontal="center"/>
    </xf>
    <xf numFmtId="0" fontId="11" fillId="0" borderId="53" pivotButton="0" quotePrefix="0" xfId="0"/>
    <xf numFmtId="0" fontId="18" fillId="2" borderId="46" applyAlignment="1" pivotButton="0" quotePrefix="0" xfId="0">
      <alignment horizontal="center"/>
    </xf>
    <xf numFmtId="0" fontId="20" fillId="2" borderId="54" applyAlignment="1" pivotButton="0" quotePrefix="0" xfId="0">
      <alignment horizontal="right"/>
    </xf>
    <xf numFmtId="0" fontId="21" fillId="2" borderId="52" applyAlignment="1" pivotButton="0" quotePrefix="0" xfId="0">
      <alignment horizontal="right"/>
    </xf>
    <xf numFmtId="0" fontId="18" fillId="2" borderId="52" applyAlignment="1" pivotButton="0" quotePrefix="0" xfId="0">
      <alignment horizontal="center"/>
    </xf>
    <xf numFmtId="0" fontId="18" fillId="2" borderId="55" applyAlignment="1" pivotButton="0" quotePrefix="0" xfId="0">
      <alignment horizontal="right"/>
    </xf>
    <xf numFmtId="166" fontId="18" fillId="2" borderId="46" applyAlignment="1" pivotButton="0" quotePrefix="0" xfId="0">
      <alignment horizontal="center"/>
    </xf>
    <xf numFmtId="0" fontId="18" fillId="2" borderId="56" applyAlignment="1" pivotButton="0" quotePrefix="0" xfId="0">
      <alignment horizontal="right"/>
    </xf>
    <xf numFmtId="0" fontId="11" fillId="0" borderId="57" pivotButton="0" quotePrefix="0" xfId="0"/>
    <xf numFmtId="0" fontId="11" fillId="0" borderId="58" pivotButton="0" quotePrefix="0" xfId="0"/>
    <xf numFmtId="167" fontId="18" fillId="2" borderId="13" applyAlignment="1" pivotButton="0" quotePrefix="0" xfId="0">
      <alignment horizontal="center"/>
    </xf>
    <xf numFmtId="0" fontId="18" fillId="2" borderId="59" applyAlignment="1" pivotButton="0" quotePrefix="0" xfId="0">
      <alignment horizontal="right"/>
    </xf>
    <xf numFmtId="0" fontId="11" fillId="0" borderId="60" pivotButton="0" quotePrefix="0" xfId="0"/>
    <xf numFmtId="0" fontId="18" fillId="2" borderId="61" applyAlignment="1" pivotButton="0" quotePrefix="0" xfId="0">
      <alignment horizontal="center"/>
    </xf>
    <xf numFmtId="0" fontId="11" fillId="0" borderId="62" pivotButton="0" quotePrefix="0" xfId="0"/>
    <xf numFmtId="0" fontId="17" fillId="2" borderId="8" applyAlignment="1" pivotButton="0" quotePrefix="0" xfId="0">
      <alignment horizontal="center"/>
    </xf>
    <xf numFmtId="0" fontId="17" fillId="2" borderId="1" pivotButton="0" quotePrefix="0" xfId="0"/>
    <xf numFmtId="0" fontId="4" fillId="3" borderId="21" applyAlignment="1" pivotButton="0" quotePrefix="0" xfId="0">
      <alignment vertical="center" wrapText="1"/>
    </xf>
    <xf numFmtId="0" fontId="8" fillId="2" borderId="1" applyAlignment="1" pivotButton="0" quotePrefix="0" xfId="0">
      <alignment horizontal="center"/>
    </xf>
    <xf numFmtId="0" fontId="8" fillId="3" borderId="21" applyAlignment="1" pivotButton="0" quotePrefix="0" xfId="0">
      <alignment horizontal="center" vertical="center" wrapText="1"/>
    </xf>
    <xf numFmtId="0" fontId="8" fillId="2" borderId="1" applyAlignment="1" pivotButton="0" quotePrefix="0" xfId="0">
      <alignment horizontal="left"/>
    </xf>
    <xf numFmtId="0" fontId="8" fillId="2" borderId="63" applyAlignment="1" pivotButton="0" quotePrefix="0" xfId="0">
      <alignment horizontal="right" vertical="center" textRotation="90" wrapText="1"/>
    </xf>
    <xf numFmtId="0" fontId="18" fillId="3" borderId="21" applyAlignment="1" pivotButton="0" quotePrefix="0" xfId="0">
      <alignment horizontal="center" vertical="center" wrapText="1"/>
    </xf>
    <xf numFmtId="0" fontId="4" fillId="3" borderId="21" applyAlignment="1" pivotButton="0" quotePrefix="0" xfId="0">
      <alignment horizontal="center" vertical="center" wrapText="1"/>
    </xf>
    <xf numFmtId="0" fontId="8" fillId="2" borderId="64" applyAlignment="1" pivotButton="0" quotePrefix="0" xfId="0">
      <alignment horizontal="left" vertical="center" textRotation="180" wrapText="1"/>
    </xf>
    <xf numFmtId="0" fontId="11" fillId="0" borderId="65" pivotButton="0" quotePrefix="0" xfId="0"/>
    <xf numFmtId="0" fontId="11" fillId="0" borderId="66" pivotButton="0" quotePrefix="0" xfId="0"/>
    <xf numFmtId="0" fontId="4" fillId="3" borderId="21" applyAlignment="1" pivotButton="0" quotePrefix="0" xfId="0">
      <alignment horizontal="center" vertical="center" wrapText="1"/>
    </xf>
    <xf numFmtId="0" fontId="11" fillId="0" borderId="67" pivotButton="0" quotePrefix="0" xfId="0"/>
    <xf numFmtId="0" fontId="11" fillId="0" borderId="68" pivotButton="0" quotePrefix="0" xfId="0"/>
    <xf numFmtId="0" fontId="8" fillId="4" borderId="69" applyAlignment="1" pivotButton="0" quotePrefix="0" xfId="0">
      <alignment horizontal="center" vertical="center"/>
    </xf>
    <xf numFmtId="0" fontId="11" fillId="0" borderId="70" pivotButton="0" quotePrefix="0" xfId="0"/>
    <xf numFmtId="0" fontId="18" fillId="4" borderId="69" applyAlignment="1" pivotButton="0" quotePrefix="0" xfId="0">
      <alignment horizontal="center" vertical="center"/>
    </xf>
    <xf numFmtId="0" fontId="11" fillId="0" borderId="71" pivotButton="0" quotePrefix="0" xfId="0"/>
    <xf numFmtId="0" fontId="18" fillId="3" borderId="72" applyAlignment="1" pivotButton="0" quotePrefix="0" xfId="0">
      <alignment horizontal="center" vertical="center" wrapText="1"/>
    </xf>
    <xf numFmtId="0" fontId="11" fillId="0" borderId="73" pivotButton="0" quotePrefix="0" xfId="0"/>
    <xf numFmtId="0" fontId="22" fillId="3" borderId="74" applyAlignment="1" pivotButton="0" quotePrefix="0" xfId="0">
      <alignment horizontal="left" vertical="center" wrapText="1"/>
    </xf>
    <xf numFmtId="0" fontId="11" fillId="0" borderId="75" pivotButton="0" quotePrefix="0" xfId="0"/>
    <xf numFmtId="0" fontId="18" fillId="3" borderId="74" applyAlignment="1" pivotButton="0" quotePrefix="0" xfId="0">
      <alignment horizontal="center" vertical="center" wrapText="1"/>
    </xf>
    <xf numFmtId="0" fontId="11" fillId="0" borderId="76" pivotButton="0" quotePrefix="0" xfId="0"/>
    <xf numFmtId="0" fontId="18" fillId="3" borderId="21" applyAlignment="1" pivotButton="0" quotePrefix="0" xfId="0">
      <alignment horizontal="left" vertical="center" wrapText="1"/>
    </xf>
    <xf numFmtId="0" fontId="8" fillId="4" borderId="29" applyAlignment="1" pivotButton="0" quotePrefix="0" xfId="0">
      <alignment horizontal="center" vertical="center"/>
    </xf>
    <xf numFmtId="0" fontId="11" fillId="0" borderId="77" pivotButton="0" quotePrefix="0" xfId="0"/>
    <xf numFmtId="0" fontId="11" fillId="0" borderId="78" pivotButton="0" quotePrefix="0" xfId="0"/>
    <xf numFmtId="0" fontId="11" fillId="0" borderId="79" pivotButton="0" quotePrefix="0" xfId="0"/>
    <xf numFmtId="0" fontId="18" fillId="2" borderId="5" pivotButton="0" quotePrefix="0" xfId="0"/>
    <xf numFmtId="0" fontId="1" fillId="2" borderId="6" pivotButton="0" quotePrefix="0" xfId="0"/>
    <xf numFmtId="0" fontId="1" fillId="2" borderId="7" pivotButton="0" quotePrefix="0" xfId="0"/>
    <xf numFmtId="0" fontId="4" fillId="3" borderId="72" applyAlignment="1" pivotButton="0" quotePrefix="0" xfId="0">
      <alignment horizontal="left" vertical="top" wrapText="1"/>
    </xf>
    <xf numFmtId="0" fontId="4" fillId="3" borderId="72" applyAlignment="1" pivotButton="0" quotePrefix="0" xfId="0">
      <alignment horizontal="left" vertical="top" wrapText="1"/>
    </xf>
    <xf numFmtId="0" fontId="4" fillId="3" borderId="72" applyAlignment="1" pivotButton="0" quotePrefix="0" xfId="0">
      <alignment vertical="top" wrapText="1"/>
    </xf>
    <xf numFmtId="0" fontId="8" fillId="3" borderId="29" applyAlignment="1" pivotButton="0" quotePrefix="0" xfId="0">
      <alignment horizontal="left" vertical="center" wrapText="1"/>
    </xf>
    <xf numFmtId="0" fontId="17" fillId="2" borderId="52" applyAlignment="1" pivotButton="0" quotePrefix="0" xfId="0">
      <alignment horizontal="center"/>
    </xf>
    <xf numFmtId="0" fontId="4" fillId="2" borderId="52" applyAlignment="1" pivotButton="0" quotePrefix="0" xfId="0">
      <alignment horizontal="center"/>
    </xf>
    <xf numFmtId="0" fontId="4" fillId="2" borderId="1" applyAlignment="1" pivotButton="0" quotePrefix="0" xfId="0">
      <alignment horizontal="center"/>
    </xf>
    <xf numFmtId="0" fontId="4" fillId="2" borderId="80" applyAlignment="1" pivotButton="0" quotePrefix="0" xfId="0">
      <alignment horizontal="center" vertical="center"/>
    </xf>
    <xf numFmtId="3" fontId="4" fillId="3" borderId="21" applyAlignment="1" pivotButton="0" quotePrefix="0" xfId="0">
      <alignment horizontal="center" vertical="center" wrapText="1"/>
    </xf>
    <xf numFmtId="3" fontId="23" fillId="3" borderId="21" applyAlignment="1" pivotButton="0" quotePrefix="0" xfId="0">
      <alignment horizontal="left" vertical="center" wrapText="1"/>
    </xf>
    <xf numFmtId="0" fontId="11" fillId="0" borderId="81" pivotButton="0" quotePrefix="0" xfId="0"/>
    <xf numFmtId="0" fontId="11" fillId="0" borderId="82" pivotButton="0" quotePrefix="0" xfId="0"/>
    <xf numFmtId="0" fontId="4" fillId="3" borderId="21" applyAlignment="1" pivotButton="0" quotePrefix="0" xfId="0">
      <alignment horizontal="left" vertical="center" wrapText="1"/>
    </xf>
    <xf numFmtId="3" fontId="4" fillId="3" borderId="21" applyAlignment="1" pivotButton="0" quotePrefix="0" xfId="0">
      <alignment horizontal="center" vertical="center" wrapText="1"/>
    </xf>
    <xf numFmtId="0" fontId="8" fillId="2" borderId="18" applyAlignment="1" pivotButton="0" quotePrefix="0" xfId="0">
      <alignment horizontal="center" vertical="center"/>
    </xf>
    <xf numFmtId="0" fontId="4" fillId="2" borderId="1" applyAlignment="1" pivotButton="0" quotePrefix="0" xfId="0">
      <alignment horizontal="center" vertical="center"/>
    </xf>
    <xf numFmtId="0" fontId="4" fillId="2" borderId="63" applyAlignment="1" pivotButton="0" quotePrefix="0" xfId="0">
      <alignment horizontal="center" vertical="center"/>
    </xf>
    <xf numFmtId="0" fontId="18" fillId="3" borderId="21" applyAlignment="1" pivotButton="0" quotePrefix="0" xfId="0">
      <alignment horizontal="left" vertical="top" wrapText="1"/>
    </xf>
    <xf numFmtId="0" fontId="8" fillId="2" borderId="80" applyAlignment="1" pivotButton="0" quotePrefix="0" xfId="0">
      <alignment horizontal="center" vertical="center" wrapText="1"/>
    </xf>
    <xf numFmtId="0" fontId="4" fillId="2" borderId="1" applyAlignment="1" pivotButton="0" quotePrefix="0" xfId="0">
      <alignment horizontal="right" vertical="center"/>
    </xf>
    <xf numFmtId="0" fontId="18" fillId="2" borderId="1" applyAlignment="1" pivotButton="0" quotePrefix="0" xfId="0">
      <alignment horizontal="center" vertical="center"/>
    </xf>
    <xf numFmtId="0" fontId="4" fillId="3" borderId="29" applyAlignment="1" pivotButton="0" quotePrefix="0" xfId="0">
      <alignment horizontal="left" vertical="center" wrapText="1"/>
    </xf>
    <xf numFmtId="0" fontId="2" fillId="2" borderId="1" applyAlignment="1" pivotButton="0" quotePrefix="0" xfId="0">
      <alignment horizontal="right"/>
    </xf>
    <xf numFmtId="0" fontId="24" fillId="2" borderId="29" applyAlignment="1" pivotButton="0" quotePrefix="0" xfId="0">
      <alignment horizontal="center" vertical="center"/>
    </xf>
    <xf numFmtId="0" fontId="24" fillId="2" borderId="74" applyAlignment="1" pivotButton="0" quotePrefix="0" xfId="0">
      <alignment horizontal="center" vertical="center"/>
    </xf>
    <xf numFmtId="0" fontId="24" fillId="2" borderId="83" applyAlignment="1" pivotButton="0" quotePrefix="0" xfId="0">
      <alignment horizontal="center" vertical="center"/>
    </xf>
    <xf numFmtId="0" fontId="11" fillId="0" borderId="84" pivotButton="0" quotePrefix="0" xfId="0"/>
    <xf numFmtId="0" fontId="11" fillId="0" borderId="85" pivotButton="0" quotePrefix="0" xfId="0"/>
    <xf numFmtId="0" fontId="11" fillId="0" borderId="86" pivotButton="0" quotePrefix="0" xfId="0"/>
    <xf numFmtId="0" fontId="25" fillId="3" borderId="87" applyAlignment="1" pivotButton="0" quotePrefix="0" xfId="0">
      <alignment horizontal="center" vertical="center" wrapText="1"/>
    </xf>
    <xf numFmtId="0" fontId="25" fillId="3" borderId="72" applyAlignment="1" pivotButton="0" quotePrefix="0" xfId="0">
      <alignment horizontal="center" vertical="center" wrapText="1"/>
    </xf>
    <xf numFmtId="0" fontId="26" fillId="3" borderId="72" applyAlignment="1" pivotButton="0" quotePrefix="0" xfId="0">
      <alignment horizontal="center" vertical="center" wrapText="1"/>
    </xf>
    <xf numFmtId="0" fontId="11" fillId="0" borderId="88" pivotButton="0" quotePrefix="0" xfId="0"/>
    <xf numFmtId="0" fontId="24" fillId="2" borderId="21" applyAlignment="1" pivotButton="0" quotePrefix="0" xfId="0">
      <alignment horizontal="center" vertical="center"/>
    </xf>
    <xf numFmtId="0" fontId="11" fillId="0" borderId="89" pivotButton="0" quotePrefix="0" xfId="0"/>
    <xf numFmtId="0" fontId="11" fillId="0" borderId="90" pivotButton="0" quotePrefix="0" xfId="0"/>
    <xf numFmtId="0" fontId="24" fillId="2" borderId="91" applyAlignment="1" pivotButton="0" quotePrefix="0" xfId="0">
      <alignment horizontal="center" vertical="center"/>
    </xf>
    <xf numFmtId="0" fontId="11" fillId="0" borderId="92" pivotButton="0" quotePrefix="0" xfId="0"/>
    <xf numFmtId="0" fontId="26" fillId="3" borderId="87" applyAlignment="1" pivotButton="0" quotePrefix="0" xfId="0">
      <alignment horizontal="center" vertical="center" wrapText="1"/>
    </xf>
    <xf numFmtId="0" fontId="11" fillId="0" borderId="93" pivotButton="0" quotePrefix="0" xfId="0"/>
    <xf numFmtId="0" fontId="11" fillId="0" borderId="94" pivotButton="0" quotePrefix="0" xfId="0"/>
    <xf numFmtId="0" fontId="7" fillId="3" borderId="21" applyAlignment="1" pivotButton="0" quotePrefix="0" xfId="0">
      <alignment horizontal="left" vertical="top" wrapText="1"/>
    </xf>
    <xf numFmtId="0" fontId="5" fillId="2" borderId="52" applyAlignment="1" pivotButton="0" quotePrefix="0" xfId="0">
      <alignment horizontal="center"/>
    </xf>
    <xf numFmtId="0" fontId="18" fillId="2" borderId="95" applyAlignment="1" pivotButton="0" quotePrefix="0" xfId="0">
      <alignment horizontal="center" vertical="center" wrapText="1"/>
    </xf>
    <xf numFmtId="0" fontId="11" fillId="0" borderId="96" pivotButton="0" quotePrefix="0" xfId="0"/>
    <xf numFmtId="168" fontId="4" fillId="3" borderId="21" applyAlignment="1" pivotButton="0" quotePrefix="0" xfId="0">
      <alignment horizontal="center" vertical="center"/>
    </xf>
    <xf numFmtId="168" fontId="4" fillId="2" borderId="21" applyAlignment="1" pivotButton="0" quotePrefix="0" xfId="0">
      <alignment horizontal="center" vertical="center"/>
    </xf>
    <xf numFmtId="10" fontId="4" fillId="2" borderId="21" applyAlignment="1" pivotButton="0" quotePrefix="0" xfId="0">
      <alignment horizontal="center" vertical="center"/>
    </xf>
    <xf numFmtId="0" fontId="11" fillId="0" borderId="97" pivotButton="0" quotePrefix="0" xfId="0"/>
    <xf numFmtId="0" fontId="11" fillId="0" borderId="98" pivotButton="0" quotePrefix="0" xfId="0"/>
    <xf numFmtId="0" fontId="11" fillId="0" borderId="99" pivotButton="0" quotePrefix="0" xfId="0"/>
    <xf numFmtId="0" fontId="1" fillId="2" borderId="1" applyAlignment="1" pivotButton="0" quotePrefix="0" xfId="0">
      <alignment horizontal="center" wrapText="1"/>
    </xf>
    <xf numFmtId="168" fontId="1" fillId="2" borderId="1" pivotButton="0" quotePrefix="0" xfId="0"/>
    <xf numFmtId="168" fontId="4" fillId="3" borderId="21" applyAlignment="1" pivotButton="0" quotePrefix="0" xfId="0">
      <alignment horizontal="center" vertical="center"/>
    </xf>
    <xf numFmtId="0" fontId="17" fillId="3" borderId="21" applyAlignment="1" pivotButton="0" quotePrefix="0" xfId="0">
      <alignment horizontal="center" vertical="center" wrapText="1"/>
    </xf>
    <xf numFmtId="0" fontId="4" fillId="3" borderId="21" applyAlignment="1" pivotButton="0" quotePrefix="0" xfId="0">
      <alignment horizontal="center" vertical="center"/>
    </xf>
    <xf numFmtId="4" fontId="27" fillId="3" borderId="21" applyAlignment="1" pivotButton="0" quotePrefix="0" xfId="0">
      <alignment horizontal="center" vertical="center"/>
    </xf>
    <xf numFmtId="0" fontId="27" fillId="2" borderId="1" applyAlignment="1" pivotButton="0" quotePrefix="0" xfId="0">
      <alignment horizontal="right" vertical="center"/>
    </xf>
    <xf numFmtId="4" fontId="27" fillId="2" borderId="52" applyAlignment="1" pivotButton="0" quotePrefix="0" xfId="0">
      <alignment horizontal="center" vertical="center"/>
    </xf>
    <xf numFmtId="0" fontId="4" fillId="3" borderId="21" applyAlignment="1" pivotButton="0" quotePrefix="0" xfId="0">
      <alignment horizontal="left" vertical="top" wrapText="1"/>
    </xf>
    <xf numFmtId="0" fontId="18" fillId="0" borderId="21" applyAlignment="1" pivotButton="0" quotePrefix="0" xfId="0">
      <alignment vertical="top" wrapText="1"/>
    </xf>
    <xf numFmtId="0" fontId="4" fillId="0" borderId="21" applyAlignment="1" pivotButton="0" quotePrefix="0" xfId="0">
      <alignment vertical="top" wrapText="1"/>
    </xf>
    <xf numFmtId="0" fontId="4" fillId="2" borderId="95" applyAlignment="1" pivotButton="0" quotePrefix="0" xfId="0">
      <alignment horizontal="right" vertical="center"/>
    </xf>
    <xf numFmtId="4" fontId="4" fillId="3" borderId="21" applyAlignment="1" pivotButton="0" quotePrefix="0" xfId="0">
      <alignment horizontal="center" vertical="center"/>
    </xf>
    <xf numFmtId="0" fontId="4" fillId="2" borderId="52" applyAlignment="1" pivotButton="0" quotePrefix="0" xfId="0">
      <alignment horizontal="center" vertical="center"/>
    </xf>
    <xf numFmtId="0" fontId="4" fillId="2" borderId="21" applyAlignment="1" pivotButton="0" quotePrefix="0" xfId="0">
      <alignment horizontal="right" vertical="center"/>
    </xf>
    <xf numFmtId="4" fontId="1" fillId="2" borderId="1" pivotButton="0" quotePrefix="0" xfId="0"/>
    <xf numFmtId="0" fontId="4" fillId="3" borderId="21" applyAlignment="1" pivotButton="0" quotePrefix="0" xfId="0">
      <alignment horizontal="left" vertical="top" wrapText="1"/>
    </xf>
    <xf numFmtId="0" fontId="5" fillId="2" borderId="21" applyAlignment="1" pivotButton="0" quotePrefix="0" xfId="0">
      <alignment horizontal="right" vertical="center" wrapText="1"/>
    </xf>
    <xf numFmtId="0" fontId="5" fillId="2" borderId="21" applyAlignment="1" pivotButton="0" quotePrefix="0" xfId="0">
      <alignment horizontal="right" vertical="center"/>
    </xf>
    <xf numFmtId="9" fontId="5" fillId="2" borderId="21" applyAlignment="1" pivotButton="0" quotePrefix="0" xfId="0">
      <alignment horizontal="center" vertical="center"/>
    </xf>
    <xf numFmtId="0" fontId="5" fillId="3" borderId="21" applyAlignment="1" pivotButton="0" quotePrefix="0" xfId="0">
      <alignment horizontal="center" vertical="center"/>
    </xf>
    <xf numFmtId="0" fontId="5" fillId="2" borderId="21" applyAlignment="1" pivotButton="0" quotePrefix="0" xfId="0">
      <alignment horizontal="center" vertical="center" wrapText="1"/>
    </xf>
    <xf numFmtId="0" fontId="5" fillId="2" borderId="1" applyAlignment="1" pivotButton="0" quotePrefix="0" xfId="0">
      <alignment horizontal="right" vertical="center"/>
    </xf>
    <xf numFmtId="0" fontId="5" fillId="2" borderId="1" applyAlignment="1" pivotButton="0" quotePrefix="0" xfId="0">
      <alignment horizontal="center" vertical="center"/>
    </xf>
    <xf numFmtId="0" fontId="5" fillId="2" borderId="1" applyAlignment="1" pivotButton="0" quotePrefix="0" xfId="0">
      <alignment horizontal="center" vertical="center" wrapText="1"/>
    </xf>
    <xf numFmtId="0" fontId="8" fillId="3" borderId="21" applyAlignment="1" pivotButton="0" quotePrefix="0" xfId="0">
      <alignment vertical="top" wrapText="1"/>
    </xf>
    <xf numFmtId="0" fontId="18" fillId="2" borderId="1" applyAlignment="1" pivotButton="0" quotePrefix="0" xfId="0">
      <alignment vertical="top" wrapText="1"/>
    </xf>
    <xf numFmtId="0" fontId="18" fillId="2" borderId="1" applyAlignment="1" pivotButton="0" quotePrefix="0" xfId="0">
      <alignment vertical="top"/>
    </xf>
    <xf numFmtId="0" fontId="18" fillId="2" borderId="1" applyAlignment="1" pivotButton="0" quotePrefix="0" xfId="0">
      <alignment horizontal="right" vertical="center"/>
    </xf>
    <xf numFmtId="0" fontId="22" fillId="2" borderId="80" applyAlignment="1" pivotButton="0" quotePrefix="0" xfId="0">
      <alignment horizontal="center" vertical="center" wrapText="1"/>
    </xf>
    <xf numFmtId="0" fontId="11" fillId="0" borderId="100" pivotButton="0" quotePrefix="0" xfId="0"/>
    <xf numFmtId="0" fontId="4" fillId="2" borderId="101" applyAlignment="1" pivotButton="0" quotePrefix="0" xfId="0">
      <alignment horizontal="center" vertical="center"/>
    </xf>
    <xf numFmtId="0" fontId="11" fillId="0" borderId="102" pivotButton="0" quotePrefix="0" xfId="0"/>
    <xf numFmtId="0" fontId="11" fillId="0" borderId="103" pivotButton="0" quotePrefix="0" xfId="0"/>
    <xf numFmtId="0" fontId="18" fillId="2" borderId="80" applyAlignment="1" pivotButton="0" quotePrefix="0" xfId="0">
      <alignment horizontal="right" vertical="center"/>
    </xf>
    <xf numFmtId="4" fontId="18" fillId="3" borderId="104" applyAlignment="1" pivotButton="0" quotePrefix="0" xfId="0">
      <alignment horizontal="center" vertical="center"/>
    </xf>
    <xf numFmtId="0" fontId="18" fillId="3" borderId="21" applyAlignment="1" pivotButton="0" quotePrefix="0" xfId="0">
      <alignment vertical="center"/>
    </xf>
    <xf numFmtId="0" fontId="11" fillId="0" borderId="105" pivotButton="0" quotePrefix="0" xfId="0"/>
    <xf numFmtId="0" fontId="4" fillId="2" borderId="1" applyAlignment="1" pivotButton="0" quotePrefix="0" xfId="0">
      <alignment vertical="top" wrapText="1"/>
    </xf>
    <xf numFmtId="0" fontId="17" fillId="2" borderId="52" applyAlignment="1" pivotButton="0" quotePrefix="0" xfId="0">
      <alignment horizontal="center" vertical="center" wrapText="1"/>
    </xf>
    <xf numFmtId="0" fontId="4" fillId="2" borderId="95" applyAlignment="1" pivotButton="0" quotePrefix="0" xfId="0">
      <alignment horizontal="center" wrapText="1"/>
    </xf>
    <xf numFmtId="0" fontId="11" fillId="0" borderId="106" pivotButton="0" quotePrefix="0" xfId="0"/>
    <xf numFmtId="0" fontId="11" fillId="0" borderId="107" pivotButton="0" quotePrefix="0" xfId="0"/>
    <xf numFmtId="0" fontId="19" fillId="3" borderId="21" applyAlignment="1" pivotButton="0" quotePrefix="0" xfId="0">
      <alignment horizontal="center" vertical="center"/>
    </xf>
    <xf numFmtId="0" fontId="4" fillId="3" borderId="21" applyAlignment="1" pivotButton="0" quotePrefix="0" xfId="0">
      <alignment horizontal="left" vertical="center" wrapText="1"/>
    </xf>
    <xf numFmtId="0" fontId="18" fillId="3" borderId="21" applyAlignment="1" pivotButton="0" quotePrefix="0" xfId="0">
      <alignment horizontal="left" vertical="center" wrapText="1"/>
    </xf>
    <xf numFmtId="0" fontId="18" fillId="2" borderId="108" applyAlignment="1" pivotButton="0" quotePrefix="0" xfId="0">
      <alignment horizontal="center" wrapText="1"/>
    </xf>
    <xf numFmtId="0" fontId="11" fillId="0" borderId="109" pivotButton="0" quotePrefix="0" xfId="0"/>
    <xf numFmtId="0" fontId="18" fillId="2" borderId="29" applyAlignment="1" pivotButton="0" quotePrefix="0" xfId="0">
      <alignment horizontal="right" vertical="center" wrapText="1"/>
    </xf>
    <xf numFmtId="0" fontId="5" fillId="3" borderId="110" applyAlignment="1" pivotButton="0" quotePrefix="0" xfId="0">
      <alignment horizontal="center" vertical="center"/>
    </xf>
    <xf numFmtId="0" fontId="5" fillId="3" borderId="111" applyAlignment="1" pivotButton="0" quotePrefix="0" xfId="0">
      <alignment horizontal="center" vertical="center"/>
    </xf>
    <xf numFmtId="0" fontId="5" fillId="3" borderId="112" applyAlignment="1" pivotButton="0" quotePrefix="0" xfId="0">
      <alignment horizontal="center" vertical="center"/>
    </xf>
    <xf numFmtId="0" fontId="5" fillId="3" borderId="113" applyAlignment="1" pivotButton="0" quotePrefix="0" xfId="0">
      <alignment horizontal="center" vertical="center"/>
    </xf>
    <xf numFmtId="0" fontId="11" fillId="0" borderId="114" pivotButton="0" quotePrefix="0" xfId="0"/>
    <xf numFmtId="0" fontId="11" fillId="0" borderId="115" pivotButton="0" quotePrefix="0" xfId="0"/>
    <xf numFmtId="0" fontId="11" fillId="0" borderId="116" pivotButton="0" quotePrefix="0" xfId="0"/>
    <xf numFmtId="0" fontId="11" fillId="0" borderId="117" pivotButton="0" quotePrefix="0" xfId="0"/>
    <xf numFmtId="0" fontId="5" fillId="3" borderId="118" applyAlignment="1" pivotButton="0" quotePrefix="0" xfId="0">
      <alignment horizontal="center" vertical="center"/>
    </xf>
    <xf numFmtId="0" fontId="5" fillId="3" borderId="104" applyAlignment="1" pivotButton="0" quotePrefix="0" xfId="0">
      <alignment horizontal="center" vertical="center"/>
    </xf>
    <xf numFmtId="0" fontId="5" fillId="3" borderId="119" applyAlignment="1" pivotButton="0" quotePrefix="0" xfId="0">
      <alignment horizontal="center" vertical="center"/>
    </xf>
    <xf numFmtId="0" fontId="11" fillId="0" borderId="120" pivotButton="0" quotePrefix="0" xfId="0"/>
    <xf numFmtId="0" fontId="11" fillId="0" borderId="121" pivotButton="0" quotePrefix="0" xfId="0"/>
    <xf numFmtId="0" fontId="5" fillId="3" borderId="122" applyAlignment="1" pivotButton="0" quotePrefix="0" xfId="0">
      <alignment horizontal="center" vertical="center"/>
    </xf>
    <xf numFmtId="0" fontId="5" fillId="3" borderId="123" applyAlignment="1" pivotButton="0" quotePrefix="0" xfId="0">
      <alignment horizontal="center" vertical="center"/>
    </xf>
    <xf numFmtId="0" fontId="11" fillId="0" borderId="124" pivotButton="0" quotePrefix="0" xfId="0"/>
    <xf numFmtId="0" fontId="11" fillId="0" borderId="125" pivotButton="0" quotePrefix="0" xfId="0"/>
    <xf numFmtId="0" fontId="11" fillId="0" borderId="126" pivotButton="0" quotePrefix="0" xfId="0"/>
    <xf numFmtId="0" fontId="1" fillId="4" borderId="1" applyAlignment="1" pivotButton="0" quotePrefix="0" xfId="0">
      <alignment horizontal="center"/>
    </xf>
    <xf numFmtId="0" fontId="5" fillId="2" borderId="1" applyAlignment="1" pivotButton="0" quotePrefix="0" xfId="0">
      <alignment horizontal="left"/>
    </xf>
    <xf numFmtId="0" fontId="4" fillId="2" borderId="1" applyAlignment="1" pivotButton="0" quotePrefix="0" xfId="0">
      <alignment horizontal="right"/>
    </xf>
    <xf numFmtId="10" fontId="18" fillId="3" borderId="127" applyAlignment="1" pivotButton="0" quotePrefix="0" xfId="0">
      <alignment horizontal="center"/>
    </xf>
    <xf numFmtId="0" fontId="18" fillId="2" borderId="21" applyAlignment="1" pivotButton="0" quotePrefix="0" xfId="0">
      <alignment horizontal="center" vertical="center" wrapText="1"/>
    </xf>
    <xf numFmtId="0" fontId="28" fillId="2" borderId="1" pivotButton="0" quotePrefix="0" xfId="0"/>
    <xf numFmtId="0" fontId="1" fillId="2" borderId="1" applyAlignment="1" pivotButton="0" quotePrefix="0" xfId="0">
      <alignment vertical="center"/>
    </xf>
    <xf numFmtId="10" fontId="18" fillId="2" borderId="127" applyAlignment="1" pivotButton="0" quotePrefix="0" xfId="0">
      <alignment horizontal="center"/>
    </xf>
    <xf numFmtId="4" fontId="4" fillId="2" borderId="1" applyAlignment="1" pivotButton="0" quotePrefix="0" xfId="0">
      <alignment horizontal="left"/>
    </xf>
    <xf numFmtId="0" fontId="29" fillId="2" borderId="1" applyAlignment="1" pivotButton="0" quotePrefix="0" xfId="0">
      <alignment horizontal="right"/>
    </xf>
    <xf numFmtId="0" fontId="18" fillId="3" borderId="1" pivotButton="0" quotePrefix="0" xfId="0"/>
    <xf numFmtId="4" fontId="1" fillId="0" borderId="0" pivotButton="0" quotePrefix="0" xfId="0"/>
    <xf numFmtId="10" fontId="1" fillId="0" borderId="0" pivotButton="0" quotePrefix="0" xfId="0"/>
    <xf numFmtId="10" fontId="1" fillId="0" borderId="0" applyAlignment="1" pivotButton="0" quotePrefix="0" xfId="0">
      <alignment horizontal="center"/>
    </xf>
    <xf numFmtId="4" fontId="30" fillId="0" borderId="0" applyAlignment="1" pivotButton="0" quotePrefix="0" xfId="0">
      <alignment horizontal="center"/>
    </xf>
    <xf numFmtId="4" fontId="30" fillId="0" borderId="0" applyAlignment="1" pivotButton="0" quotePrefix="0" xfId="0">
      <alignment horizontal="right"/>
    </xf>
    <xf numFmtId="0" fontId="31" fillId="0" borderId="0" pivotButton="0" quotePrefix="0" xfId="0"/>
    <xf numFmtId="0" fontId="30" fillId="0" borderId="0" pivotButton="0" quotePrefix="0" xfId="0"/>
    <xf numFmtId="0" fontId="30" fillId="0" borderId="0" applyAlignment="1" pivotButton="0" quotePrefix="0" xfId="0">
      <alignment horizontal="right"/>
    </xf>
    <xf numFmtId="9" fontId="30" fillId="2" borderId="1" applyAlignment="1" pivotButton="0" quotePrefix="0" xfId="0">
      <alignment horizontal="center"/>
    </xf>
    <xf numFmtId="3" fontId="30" fillId="0" borderId="0" applyAlignment="1" pivotButton="0" quotePrefix="0" xfId="0">
      <alignment horizontal="center"/>
    </xf>
    <xf numFmtId="0" fontId="32" fillId="2" borderId="69" applyAlignment="1" pivotButton="0" quotePrefix="0" xfId="0">
      <alignment horizontal="center"/>
    </xf>
    <xf numFmtId="0" fontId="33" fillId="2" borderId="1" applyAlignment="1" pivotButton="0" quotePrefix="0" xfId="0">
      <alignment horizontal="right"/>
    </xf>
    <xf numFmtId="0" fontId="33" fillId="2" borderId="1" pivotButton="0" quotePrefix="0" xfId="0"/>
    <xf numFmtId="0" fontId="18" fillId="2" borderId="41" applyAlignment="1" pivotButton="0" quotePrefix="0" xfId="0">
      <alignment horizontal="center"/>
    </xf>
    <xf numFmtId="0" fontId="18" fillId="2" borderId="128" applyAlignment="1" pivotButton="0" quotePrefix="0" xfId="0">
      <alignment horizontal="center"/>
    </xf>
    <xf numFmtId="0" fontId="18" fillId="2" borderId="18" applyAlignment="1" pivotButton="0" quotePrefix="0" xfId="0">
      <alignment horizontal="center"/>
    </xf>
    <xf numFmtId="0" fontId="18" fillId="2" borderId="129" applyAlignment="1" pivotButton="0" quotePrefix="0" xfId="0">
      <alignment horizontal="center"/>
    </xf>
    <xf numFmtId="0" fontId="18" fillId="2" borderId="127" applyAlignment="1" pivotButton="0" quotePrefix="0" xfId="0">
      <alignment horizontal="center"/>
    </xf>
    <xf numFmtId="0" fontId="18" fillId="2" borderId="52" applyAlignment="1" pivotButton="0" quotePrefix="0" xfId="0">
      <alignment horizontal="right"/>
    </xf>
    <xf numFmtId="4" fontId="18" fillId="3" borderId="52" pivotButton="0" quotePrefix="0" xfId="0"/>
    <xf numFmtId="10" fontId="22" fillId="2" borderId="1" applyAlignment="1" pivotButton="0" quotePrefix="0" xfId="0">
      <alignment horizontal="center"/>
    </xf>
    <xf numFmtId="4" fontId="18" fillId="3" borderId="130" applyAlignment="1" pivotButton="0" quotePrefix="0" xfId="0">
      <alignment horizontal="right"/>
    </xf>
    <xf numFmtId="4" fontId="18" fillId="3" borderId="52" applyAlignment="1" pivotButton="0" quotePrefix="0" xfId="0">
      <alignment horizontal="right"/>
    </xf>
    <xf numFmtId="0" fontId="18" fillId="2" borderId="18" pivotButton="0" quotePrefix="0" xfId="0"/>
    <xf numFmtId="4" fontId="18" fillId="2" borderId="18" pivotButton="0" quotePrefix="0" xfId="0"/>
    <xf numFmtId="10" fontId="22" fillId="2" borderId="127" applyAlignment="1" pivotButton="0" quotePrefix="0" xfId="0">
      <alignment horizontal="center"/>
    </xf>
    <xf numFmtId="0" fontId="24" fillId="2" borderId="18" applyAlignment="1" pivotButton="0" quotePrefix="0" xfId="0">
      <alignment horizontal="left"/>
    </xf>
    <xf numFmtId="4" fontId="18" fillId="2" borderId="52" applyAlignment="1" pivotButton="0" quotePrefix="0" xfId="0">
      <alignment horizontal="right"/>
    </xf>
    <xf numFmtId="0" fontId="24" fillId="2" borderId="52" applyAlignment="1" pivotButton="0" quotePrefix="0" xfId="0">
      <alignment horizontal="left"/>
    </xf>
    <xf numFmtId="4" fontId="18" fillId="2" borderId="52" pivotButton="0" quotePrefix="0" xfId="0"/>
    <xf numFmtId="0" fontId="24" fillId="2" borderId="18" applyAlignment="1" pivotButton="0" quotePrefix="0" xfId="0">
      <alignment horizontal="center"/>
    </xf>
    <xf numFmtId="0" fontId="24" fillId="2" borderId="131" applyAlignment="1" pivotButton="0" quotePrefix="0" xfId="0">
      <alignment horizontal="center"/>
    </xf>
    <xf numFmtId="4" fontId="18" fillId="2" borderId="18" applyAlignment="1" pivotButton="0" quotePrefix="0" xfId="0">
      <alignment horizontal="right"/>
    </xf>
    <xf numFmtId="0" fontId="18" fillId="2" borderId="46" applyAlignment="1" pivotButton="0" quotePrefix="0" xfId="0">
      <alignment horizontal="right"/>
    </xf>
    <xf numFmtId="4" fontId="18" fillId="3" borderId="132" applyAlignment="1" pivotButton="0" quotePrefix="0" xfId="0">
      <alignment horizontal="right"/>
    </xf>
    <xf numFmtId="0" fontId="11" fillId="0" borderId="133" pivotButton="0" quotePrefix="0" xfId="0"/>
    <xf numFmtId="4" fontId="22" fillId="2" borderId="132" pivotButton="0" quotePrefix="0" xfId="0"/>
    <xf numFmtId="0" fontId="18" fillId="2" borderId="130" applyAlignment="1" pivotButton="0" quotePrefix="0" xfId="0">
      <alignment horizontal="right"/>
    </xf>
    <xf numFmtId="0" fontId="11" fillId="0" borderId="134" pivotButton="0" quotePrefix="0" xfId="0"/>
    <xf numFmtId="4" fontId="18" fillId="2" borderId="130" applyAlignment="1" pivotButton="0" quotePrefix="0" xfId="0">
      <alignment horizontal="right"/>
    </xf>
    <xf numFmtId="10" fontId="18" fillId="3" borderId="46" applyAlignment="1" pivotButton="0" quotePrefix="0" xfId="0">
      <alignment horizontal="center"/>
    </xf>
    <xf numFmtId="4" fontId="22" fillId="2" borderId="46" pivotButton="0" quotePrefix="0" xfId="0"/>
    <xf numFmtId="0" fontId="24" fillId="2" borderId="1" applyAlignment="1" pivotButton="0" quotePrefix="0" xfId="0">
      <alignment horizontal="center"/>
    </xf>
    <xf numFmtId="10" fontId="33" fillId="2" borderId="1" applyAlignment="1" pivotButton="0" quotePrefix="0" xfId="0">
      <alignment horizontal="center"/>
    </xf>
    <xf numFmtId="10" fontId="18" fillId="3" borderId="52" applyAlignment="1" pivotButton="0" quotePrefix="0" xfId="0">
      <alignment horizontal="center"/>
    </xf>
    <xf numFmtId="4" fontId="18" fillId="3" borderId="52" applyAlignment="1" pivotButton="0" quotePrefix="0" xfId="0">
      <alignment horizontal="center"/>
    </xf>
    <xf numFmtId="4" fontId="22" fillId="2" borderId="135" pivotButton="0" quotePrefix="0" xfId="0"/>
    <xf numFmtId="0" fontId="18" fillId="2" borderId="18" applyAlignment="1" pivotButton="0" quotePrefix="0" xfId="0">
      <alignment horizontal="left"/>
    </xf>
    <xf numFmtId="10" fontId="18" fillId="2" borderId="127" pivotButton="0" quotePrefix="0" xfId="0"/>
    <xf numFmtId="0" fontId="33" fillId="2" borderId="52" applyAlignment="1" pivotButton="0" quotePrefix="0" xfId="0">
      <alignment horizontal="right"/>
    </xf>
    <xf numFmtId="0" fontId="18" fillId="2" borderId="132" applyAlignment="1" pivotButton="0" quotePrefix="0" xfId="0">
      <alignment horizontal="right"/>
    </xf>
    <xf numFmtId="0" fontId="18" fillId="2" borderId="80" applyAlignment="1" pivotButton="0" quotePrefix="0" xfId="0">
      <alignment horizontal="center" wrapText="1"/>
    </xf>
    <xf numFmtId="4" fontId="18" fillId="2" borderId="46" applyAlignment="1" pivotButton="0" quotePrefix="0" xfId="0">
      <alignment horizontal="right"/>
    </xf>
    <xf numFmtId="10" fontId="18" fillId="2" borderId="1" applyAlignment="1" pivotButton="0" quotePrefix="0" xfId="0">
      <alignment horizontal="center"/>
    </xf>
    <xf numFmtId="4" fontId="18" fillId="3" borderId="46" applyAlignment="1" pivotButton="0" quotePrefix="0" xfId="0">
      <alignment horizontal="right"/>
    </xf>
    <xf numFmtId="0" fontId="18" fillId="2" borderId="136" pivotButton="0" quotePrefix="0" xfId="0"/>
    <xf numFmtId="0" fontId="18" fillId="2" borderId="137" pivotButton="0" quotePrefix="0" xfId="0"/>
    <xf numFmtId="0" fontId="18" fillId="2" borderId="129" pivotButton="0" quotePrefix="0" xfId="0"/>
    <xf numFmtId="0" fontId="24" fillId="2" borderId="18" pivotButton="0" quotePrefix="0" xfId="0"/>
    <xf numFmtId="4" fontId="24" fillId="2" borderId="18" pivotButton="0" quotePrefix="0" xfId="0"/>
    <xf numFmtId="4" fontId="18" fillId="2" borderId="46" pivotButton="0" quotePrefix="0" xfId="0"/>
    <xf numFmtId="4" fontId="18" fillId="2" borderId="1" pivotButton="0" quotePrefix="0" xfId="0"/>
    <xf numFmtId="0" fontId="18" fillId="2" borderId="135" applyAlignment="1" pivotButton="0" quotePrefix="0" xfId="0">
      <alignment horizontal="right"/>
    </xf>
    <xf numFmtId="4" fontId="18" fillId="2" borderId="135" pivotButton="0" quotePrefix="0" xfId="0"/>
    <xf numFmtId="0" fontId="20" fillId="2" borderId="1" pivotButton="0" quotePrefix="0" xfId="0"/>
    <xf numFmtId="0" fontId="4" fillId="2" borderId="69" applyAlignment="1" pivotButton="0" quotePrefix="0" xfId="0">
      <alignment horizontal="center"/>
    </xf>
    <xf numFmtId="4" fontId="22" fillId="2" borderId="1" pivotButton="0" quotePrefix="0" xfId="0"/>
    <xf numFmtId="4" fontId="22" fillId="2" borderId="127" pivotButton="0" quotePrefix="0" xfId="0"/>
    <xf numFmtId="10" fontId="18" fillId="3" borderId="127" pivotButton="0" quotePrefix="0" xfId="0"/>
    <xf numFmtId="1" fontId="18" fillId="3" borderId="127" pivotButton="0" quotePrefix="0" xfId="0"/>
    <xf numFmtId="0" fontId="20" fillId="2" borderId="1" applyAlignment="1" pivotButton="0" quotePrefix="0" xfId="0">
      <alignment horizontal="center"/>
    </xf>
    <xf numFmtId="0" fontId="18" fillId="2" borderId="136" applyAlignment="1" pivotButton="0" quotePrefix="0" xfId="0">
      <alignment horizontal="center"/>
    </xf>
    <xf numFmtId="0" fontId="18" fillId="2" borderId="137" applyAlignment="1" pivotButton="0" quotePrefix="0" xfId="0">
      <alignment horizontal="center"/>
    </xf>
    <xf numFmtId="4" fontId="22" fillId="2" borderId="1" applyAlignment="1" pivotButton="0" quotePrefix="0" xfId="0">
      <alignment horizontal="center"/>
    </xf>
    <xf numFmtId="0" fontId="20" fillId="2" borderId="138" pivotButton="0" quotePrefix="0" xfId="0"/>
    <xf numFmtId="0" fontId="4" fillId="2" borderId="139" applyAlignment="1" pivotButton="0" quotePrefix="0" xfId="0">
      <alignment horizontal="center"/>
    </xf>
    <xf numFmtId="0" fontId="11" fillId="0" borderId="140" pivotButton="0" quotePrefix="0" xfId="0"/>
    <xf numFmtId="0" fontId="1" fillId="2" borderId="141" pivotButton="0" quotePrefix="0" xfId="0"/>
    <xf numFmtId="0" fontId="29" fillId="2" borderId="1" applyAlignment="1" pivotButton="0" quotePrefix="0" xfId="0">
      <alignment horizontal="center"/>
    </xf>
    <xf numFmtId="0" fontId="22" fillId="2" borderId="1" applyAlignment="1" pivotButton="0" quotePrefix="0" xfId="0">
      <alignment horizontal="center"/>
    </xf>
    <xf numFmtId="0" fontId="22" fillId="2" borderId="80" applyAlignment="1" pivotButton="0" quotePrefix="0" xfId="0">
      <alignment horizontal="center" wrapText="1"/>
    </xf>
    <xf numFmtId="0" fontId="22" fillId="2" borderId="104" applyAlignment="1" pivotButton="0" quotePrefix="0" xfId="0">
      <alignment horizontal="center" wrapText="1"/>
    </xf>
    <xf numFmtId="0" fontId="22" fillId="2" borderId="127" applyAlignment="1" pivotButton="0" quotePrefix="0" xfId="0">
      <alignment horizontal="center"/>
    </xf>
    <xf numFmtId="0" fontId="34" fillId="2" borderId="127" applyAlignment="1" pivotButton="0" quotePrefix="0" xfId="0">
      <alignment horizontal="center"/>
    </xf>
    <xf numFmtId="10" fontId="7" fillId="2" borderId="1" pivotButton="0" quotePrefix="0" xfId="0"/>
    <xf numFmtId="0" fontId="20" fillId="2" borderId="5" pivotButton="0" quotePrefix="0" xfId="0"/>
    <xf numFmtId="0" fontId="20" fillId="2" borderId="6" pivotButton="0" quotePrefix="0" xfId="0"/>
    <xf numFmtId="0" fontId="20" fillId="2" borderId="7" pivotButton="0" quotePrefix="0" xfId="0"/>
    <xf numFmtId="10" fontId="7" fillId="2" borderId="142" pivotButton="0" quotePrefix="0" xfId="0"/>
    <xf numFmtId="10" fontId="7" fillId="3" borderId="142" pivotButton="0" quotePrefix="0" xfId="0"/>
    <xf numFmtId="10" fontId="18" fillId="3" borderId="142" applyAlignment="1" pivotButton="0" quotePrefix="0" xfId="0">
      <alignment horizontal="center"/>
    </xf>
    <xf numFmtId="10" fontId="18" fillId="3" borderId="143" applyAlignment="1" pivotButton="0" quotePrefix="0" xfId="0">
      <alignment horizontal="center"/>
    </xf>
    <xf numFmtId="0" fontId="20" fillId="2" borderId="10" pivotButton="0" quotePrefix="0" xfId="0"/>
    <xf numFmtId="0" fontId="20" fillId="2" borderId="11" pivotButton="0" quotePrefix="0" xfId="0"/>
    <xf numFmtId="10" fontId="7" fillId="2" borderId="143" pivotButton="0" quotePrefix="0" xfId="0"/>
    <xf numFmtId="10" fontId="7" fillId="3" borderId="143" pivotButton="0" quotePrefix="0" xfId="0"/>
    <xf numFmtId="0" fontId="20" fillId="2" borderId="15" pivotButton="0" quotePrefix="0" xfId="0"/>
    <xf numFmtId="0" fontId="20" fillId="2" borderId="16" pivotButton="0" quotePrefix="0" xfId="0"/>
    <xf numFmtId="0" fontId="20" fillId="2" borderId="17" pivotButton="0" quotePrefix="0" xfId="0"/>
    <xf numFmtId="10" fontId="7" fillId="2" borderId="144" pivotButton="0" quotePrefix="0" xfId="0"/>
    <xf numFmtId="10" fontId="7" fillId="3" borderId="144" pivotButton="0" quotePrefix="0" xfId="0"/>
    <xf numFmtId="0" fontId="35" fillId="2" borderId="1" applyAlignment="1" pivotButton="0" quotePrefix="0" xfId="0">
      <alignment horizontal="right"/>
    </xf>
    <xf numFmtId="10" fontId="18" fillId="2" borderId="1" pivotButton="0" quotePrefix="0" xfId="0"/>
    <xf numFmtId="10" fontId="18" fillId="3" borderId="144" applyAlignment="1" pivotButton="0" quotePrefix="0" xfId="0">
      <alignment horizontal="center"/>
    </xf>
    <xf numFmtId="0" fontId="36" fillId="2" borderId="130" applyAlignment="1" pivotButton="0" quotePrefix="0" xfId="0">
      <alignment horizontal="right"/>
    </xf>
    <xf numFmtId="0" fontId="18" fillId="2" borderId="145" applyAlignment="1" pivotButton="0" quotePrefix="0" xfId="0">
      <alignment horizontal="center"/>
    </xf>
    <xf numFmtId="3" fontId="37" fillId="2" borderId="1" applyAlignment="1" pivotButton="0" quotePrefix="0" xfId="0">
      <alignment horizontal="right"/>
    </xf>
    <xf numFmtId="0" fontId="33" fillId="2" borderId="1" applyAlignment="1" pivotButton="0" quotePrefix="0" xfId="0">
      <alignment horizontal="left"/>
    </xf>
    <xf numFmtId="0" fontId="22" fillId="2" borderId="146" applyAlignment="1" pivotButton="0" quotePrefix="0" xfId="0">
      <alignment horizontal="right"/>
    </xf>
    <xf numFmtId="0" fontId="22" fillId="2" borderId="1" pivotButton="0" quotePrefix="0" xfId="0"/>
    <xf numFmtId="0" fontId="22" fillId="2" borderId="9" pivotButton="0" quotePrefix="0" xfId="0"/>
    <xf numFmtId="0" fontId="22" fillId="2" borderId="8" applyAlignment="1" pivotButton="0" quotePrefix="0" xfId="0">
      <alignment horizontal="center"/>
    </xf>
    <xf numFmtId="0" fontId="22" fillId="2" borderId="147" applyAlignment="1" pivotButton="0" quotePrefix="0" xfId="0">
      <alignment horizontal="center"/>
    </xf>
    <xf numFmtId="4" fontId="22" fillId="3" borderId="8" pivotButton="0" quotePrefix="0" xfId="0"/>
    <xf numFmtId="4" fontId="22" fillId="3" borderId="1" pivotButton="0" quotePrefix="0" xfId="0"/>
    <xf numFmtId="4" fontId="22" fillId="2" borderId="9" pivotButton="0" quotePrefix="0" xfId="0"/>
    <xf numFmtId="0" fontId="22" fillId="2" borderId="8" pivotButton="0" quotePrefix="0" xfId="0"/>
    <xf numFmtId="0" fontId="22" fillId="2" borderId="52" applyAlignment="1" pivotButton="0" quotePrefix="0" xfId="0">
      <alignment horizontal="right"/>
    </xf>
    <xf numFmtId="10" fontId="22" fillId="3" borderId="1" applyAlignment="1" pivotButton="0" quotePrefix="0" xfId="0">
      <alignment horizontal="center"/>
    </xf>
    <xf numFmtId="4" fontId="22" fillId="3" borderId="12" pivotButton="0" quotePrefix="0" xfId="0"/>
    <xf numFmtId="4" fontId="22" fillId="3" borderId="13" pivotButton="0" quotePrefix="0" xfId="0"/>
    <xf numFmtId="4" fontId="22" fillId="2" borderId="14" pivotButton="0" quotePrefix="0" xfId="0"/>
    <xf numFmtId="10" fontId="20" fillId="2" borderId="1" pivotButton="0" quotePrefix="0" xfId="0"/>
    <xf numFmtId="9" fontId="20" fillId="2" borderId="1" pivotButton="0" quotePrefix="0" xfId="0"/>
    <xf numFmtId="0" fontId="1" fillId="2" borderId="1" applyAlignment="1" pivotButton="0" quotePrefix="0" xfId="0">
      <alignment horizontal="right"/>
    </xf>
    <xf numFmtId="0" fontId="18" fillId="2" borderId="132" applyAlignment="1" pivotButton="0" quotePrefix="0" xfId="0">
      <alignment horizontal="center"/>
    </xf>
    <xf numFmtId="0" fontId="18" fillId="2" borderId="142" applyAlignment="1" pivotButton="0" quotePrefix="0" xfId="0">
      <alignment horizontal="center"/>
    </xf>
    <xf numFmtId="0" fontId="7" fillId="2" borderId="131" applyAlignment="1" pivotButton="0" quotePrefix="0" xfId="0">
      <alignment horizontal="left"/>
    </xf>
    <xf numFmtId="0" fontId="11" fillId="0" borderId="148" pivotButton="0" quotePrefix="0" xfId="0"/>
    <xf numFmtId="0" fontId="18" fillId="2" borderId="131" applyAlignment="1" pivotButton="0" quotePrefix="0" xfId="0">
      <alignment horizontal="center"/>
    </xf>
    <xf numFmtId="4" fontId="22" fillId="3" borderId="5" pivotButton="0" quotePrefix="0" xfId="0"/>
    <xf numFmtId="4" fontId="22" fillId="3" borderId="6" pivotButton="0" quotePrefix="0" xfId="0"/>
    <xf numFmtId="4" fontId="22" fillId="3" borderId="7" pivotButton="0" quotePrefix="0" xfId="0"/>
    <xf numFmtId="4" fontId="22" fillId="2" borderId="6" pivotButton="0" quotePrefix="0" xfId="0"/>
    <xf numFmtId="4" fontId="22" fillId="2" borderId="7" pivotButton="0" quotePrefix="0" xfId="0"/>
    <xf numFmtId="4" fontId="22" fillId="3" borderId="10" pivotButton="0" quotePrefix="0" xfId="0"/>
    <xf numFmtId="4" fontId="22" fillId="3" borderId="11" pivotButton="0" quotePrefix="0" xfId="0"/>
    <xf numFmtId="10" fontId="22" fillId="3" borderId="1" pivotButton="0" quotePrefix="0" xfId="0"/>
    <xf numFmtId="10" fontId="22" fillId="3" borderId="11" pivotButton="0" quotePrefix="0" xfId="0"/>
    <xf numFmtId="4" fontId="22" fillId="2" borderId="10" pivotButton="0" quotePrefix="0" xfId="0"/>
    <xf numFmtId="4" fontId="22" fillId="2" borderId="11" pivotButton="0" quotePrefix="0" xfId="0"/>
    <xf numFmtId="10" fontId="18" fillId="2" borderId="15" applyAlignment="1" pivotButton="0" quotePrefix="0" xfId="0">
      <alignment horizontal="center"/>
    </xf>
    <xf numFmtId="10" fontId="18" fillId="2" borderId="16" applyAlignment="1" pivotButton="0" quotePrefix="0" xfId="0">
      <alignment horizontal="center"/>
    </xf>
    <xf numFmtId="10" fontId="18" fillId="2" borderId="17" applyAlignment="1" pivotButton="0" quotePrefix="0" xfId="0">
      <alignment horizontal="center"/>
    </xf>
    <xf numFmtId="2" fontId="22" fillId="2" borderId="1" pivotButton="0" quotePrefix="0" xfId="0"/>
    <xf numFmtId="2" fontId="22" fillId="2" borderId="16" pivotButton="0" quotePrefix="0" xfId="0"/>
    <xf numFmtId="2" fontId="22" fillId="2" borderId="17" pivotButton="0" quotePrefix="0" xfId="0"/>
    <xf numFmtId="0" fontId="18" fillId="2" borderId="52" pivotButton="0" quotePrefix="0" xfId="0"/>
    <xf numFmtId="0" fontId="22" fillId="2" borderId="135" applyAlignment="1" pivotButton="0" quotePrefix="0" xfId="0">
      <alignment horizontal="right"/>
    </xf>
    <xf numFmtId="0" fontId="22" fillId="2" borderId="52" pivotButton="0" quotePrefix="0" xfId="0"/>
    <xf numFmtId="0" fontId="34" fillId="2" borderId="18" applyAlignment="1" pivotButton="0" quotePrefix="0" xfId="0">
      <alignment horizontal="right"/>
    </xf>
    <xf numFmtId="4" fontId="22" fillId="2" borderId="5" pivotButton="0" quotePrefix="0" xfId="0"/>
    <xf numFmtId="4" fontId="22" fillId="2" borderId="142" pivotButton="0" quotePrefix="0" xfId="0"/>
    <xf numFmtId="0" fontId="22" fillId="2" borderId="18" applyAlignment="1" pivotButton="0" quotePrefix="0" xfId="0">
      <alignment horizontal="right"/>
    </xf>
    <xf numFmtId="4" fontId="22" fillId="2" borderId="127" applyAlignment="1" pivotButton="0" quotePrefix="0" xfId="0">
      <alignment horizontal="right"/>
    </xf>
    <xf numFmtId="4" fontId="22" fillId="2" borderId="136" pivotButton="0" quotePrefix="0" xfId="0"/>
    <xf numFmtId="0" fontId="38" fillId="2" borderId="1" pivotButton="0" quotePrefix="0" xfId="0"/>
    <xf numFmtId="3" fontId="38" fillId="2" borderId="1" pivotButton="0" quotePrefix="0" xfId="0"/>
    <xf numFmtId="3" fontId="38" fillId="2" borderId="1" applyAlignment="1" pivotButton="0" quotePrefix="0" xfId="0">
      <alignment horizontal="left"/>
    </xf>
    <xf numFmtId="3" fontId="39" fillId="2" borderId="1" applyAlignment="1" pivotButton="0" quotePrefix="0" xfId="0">
      <alignment horizontal="right"/>
    </xf>
    <xf numFmtId="3" fontId="39" fillId="2" borderId="1" pivotButton="0" quotePrefix="0" xfId="0"/>
    <xf numFmtId="10" fontId="38" fillId="2" borderId="1" pivotButton="0" quotePrefix="0" xfId="0"/>
    <xf numFmtId="3" fontId="22" fillId="2" borderId="52" applyAlignment="1" pivotButton="0" quotePrefix="0" xfId="0">
      <alignment horizontal="left" vertical="center"/>
    </xf>
    <xf numFmtId="3" fontId="22" fillId="2" borderId="1" applyAlignment="1" pivotButton="0" quotePrefix="0" xfId="0">
      <alignment horizontal="right"/>
    </xf>
    <xf numFmtId="3" fontId="22" fillId="2" borderId="1" applyAlignment="1" pivotButton="0" quotePrefix="0" xfId="0">
      <alignment horizontal="center"/>
    </xf>
    <xf numFmtId="3" fontId="22" fillId="2" borderId="18" applyAlignment="1" pivotButton="0" quotePrefix="0" xfId="0">
      <alignment horizontal="left"/>
    </xf>
    <xf numFmtId="4" fontId="34" fillId="2" borderId="136" pivotButton="0" quotePrefix="0" xfId="0"/>
    <xf numFmtId="4" fontId="34" fillId="2" borderId="137" pivotButton="0" quotePrefix="0" xfId="0"/>
    <xf numFmtId="4" fontId="34" fillId="2" borderId="129" pivotButton="0" quotePrefix="0" xfId="0"/>
    <xf numFmtId="9" fontId="18" fillId="2" borderId="1" applyAlignment="1" pivotButton="0" quotePrefix="0" xfId="0">
      <alignment horizontal="center"/>
    </xf>
    <xf numFmtId="3" fontId="22" fillId="2" borderId="52" applyAlignment="1" pivotButton="0" quotePrefix="0" xfId="0">
      <alignment horizontal="right"/>
    </xf>
    <xf numFmtId="10" fontId="22" fillId="2" borderId="1" pivotButton="0" quotePrefix="0" xfId="0"/>
    <xf numFmtId="0" fontId="22" fillId="2" borderId="18" applyAlignment="1" pivotButton="0" quotePrefix="0" xfId="0">
      <alignment horizontal="left"/>
    </xf>
    <xf numFmtId="4" fontId="22" fillId="2" borderId="137" pivotButton="0" quotePrefix="0" xfId="0"/>
    <xf numFmtId="4" fontId="22" fillId="2" borderId="129" pivotButton="0" quotePrefix="0" xfId="0"/>
    <xf numFmtId="169" fontId="22" fillId="2" borderId="52" applyAlignment="1" pivotButton="0" quotePrefix="0" xfId="0">
      <alignment horizontal="right"/>
    </xf>
    <xf numFmtId="4" fontId="22" fillId="2" borderId="143" pivotButton="0" quotePrefix="0" xfId="0"/>
    <xf numFmtId="169" fontId="22" fillId="2" borderId="18" applyAlignment="1" pivotButton="0" quotePrefix="0" xfId="0">
      <alignment horizontal="left"/>
    </xf>
    <xf numFmtId="170" fontId="34" fillId="2" borderId="136" pivotButton="0" quotePrefix="0" xfId="0"/>
    <xf numFmtId="170" fontId="34" fillId="2" borderId="137" pivotButton="0" quotePrefix="0" xfId="0"/>
    <xf numFmtId="170" fontId="34" fillId="2" borderId="129" pivotButton="0" quotePrefix="0" xfId="0"/>
    <xf numFmtId="170" fontId="34" fillId="2" borderId="144" pivotButton="0" quotePrefix="0" xfId="0"/>
    <xf numFmtId="170" fontId="34" fillId="2" borderId="127" pivotButton="0" quotePrefix="0" xfId="0"/>
    <xf numFmtId="171" fontId="22" fillId="2" borderId="1" pivotButton="0" quotePrefix="0" xfId="0"/>
    <xf numFmtId="169" fontId="22" fillId="2" borderId="52" applyAlignment="1" pivotButton="0" quotePrefix="0" xfId="0">
      <alignment horizontal="left"/>
    </xf>
    <xf numFmtId="170" fontId="34" fillId="2" borderId="1" pivotButton="0" quotePrefix="0" xfId="0"/>
    <xf numFmtId="169" fontId="22" fillId="2" borderId="18" applyAlignment="1" pivotButton="0" quotePrefix="0" xfId="0">
      <alignment horizontal="right"/>
    </xf>
    <xf numFmtId="171" fontId="1" fillId="2" borderId="1" pivotButton="0" quotePrefix="0" xfId="0"/>
    <xf numFmtId="4" fontId="34" fillId="2" borderId="1" pivotButton="0" quotePrefix="0" xfId="0"/>
    <xf numFmtId="0" fontId="1" fillId="2" borderId="52" pivotButton="0" quotePrefix="0" xfId="0"/>
    <xf numFmtId="0" fontId="40" fillId="2" borderId="18" applyAlignment="1" pivotButton="0" quotePrefix="0" xfId="0">
      <alignment horizontal="center"/>
    </xf>
    <xf numFmtId="4" fontId="36" fillId="2" borderId="127" pivotButton="0" quotePrefix="0" xfId="0"/>
    <xf numFmtId="0" fontId="1" fillId="2" borderId="101" pivotButton="0" quotePrefix="0" xfId="0"/>
    <xf numFmtId="170" fontId="22" fillId="2" borderId="137" pivotButton="0" quotePrefix="0" xfId="0"/>
    <xf numFmtId="170" fontId="22" fillId="2" borderId="127" pivotButton="0" quotePrefix="0" xfId="0"/>
    <xf numFmtId="0" fontId="41" fillId="2" borderId="136" pivotButton="0" quotePrefix="0" xfId="0"/>
    <xf numFmtId="0" fontId="41" fillId="2" borderId="137" pivotButton="0" quotePrefix="0" xfId="0"/>
    <xf numFmtId="170" fontId="22" fillId="2" borderId="129" pivotButton="0" quotePrefix="0" xfId="0"/>
    <xf numFmtId="0" fontId="40" fillId="2" borderId="1" applyAlignment="1" pivotButton="0" quotePrefix="0" xfId="0">
      <alignment horizontal="center"/>
    </xf>
    <xf numFmtId="0" fontId="40" fillId="2" borderId="130" applyAlignment="1" pivotButton="0" quotePrefix="0" xfId="0">
      <alignment horizontal="right"/>
    </xf>
    <xf numFmtId="4" fontId="22" fillId="2" borderId="1" applyAlignment="1" pivotButton="0" quotePrefix="0" xfId="0">
      <alignment horizontal="right"/>
    </xf>
    <xf numFmtId="0" fontId="40" fillId="2" borderId="52" applyAlignment="1" pivotButton="0" quotePrefix="0" xfId="0">
      <alignment horizontal="right"/>
    </xf>
    <xf numFmtId="4" fontId="22" fillId="2" borderId="136" applyAlignment="1" pivotButton="0" quotePrefix="0" xfId="0">
      <alignment horizontal="right"/>
    </xf>
    <xf numFmtId="4" fontId="22" fillId="2" borderId="137" applyAlignment="1" pivotButton="0" quotePrefix="0" xfId="0">
      <alignment horizontal="right"/>
    </xf>
    <xf numFmtId="4" fontId="22" fillId="2" borderId="129" applyAlignment="1" pivotButton="0" quotePrefix="0" xfId="0">
      <alignment horizontal="right"/>
    </xf>
    <xf numFmtId="0" fontId="1" fillId="2" borderId="136" pivotButton="0" quotePrefix="0" xfId="0"/>
    <xf numFmtId="0" fontId="1" fillId="2" borderId="137" pivotButton="0" quotePrefix="0" xfId="0"/>
    <xf numFmtId="0" fontId="40" fillId="2" borderId="132" applyAlignment="1" pivotButton="0" quotePrefix="0" xfId="0">
      <alignment horizontal="center"/>
    </xf>
    <xf numFmtId="0" fontId="40" fillId="2" borderId="130" applyAlignment="1" pivotButton="0" quotePrefix="0" xfId="0">
      <alignment horizontal="center"/>
    </xf>
    <xf numFmtId="0" fontId="40" fillId="2" borderId="52" applyAlignment="1" pivotButton="0" quotePrefix="0" xfId="0">
      <alignment horizontal="center"/>
    </xf>
    <xf numFmtId="3" fontId="22" fillId="3" borderId="129" applyAlignment="1" pivotButton="0" quotePrefix="0" xfId="0">
      <alignment horizontal="center"/>
    </xf>
    <xf numFmtId="0" fontId="22" fillId="2" borderId="1" applyAlignment="1" pivotButton="0" quotePrefix="0" xfId="0">
      <alignment horizontal="right"/>
    </xf>
    <xf numFmtId="0" fontId="22" fillId="2" borderId="18" pivotButton="0" quotePrefix="0" xfId="0"/>
    <xf numFmtId="170" fontId="22" fillId="2" borderId="136" pivotButton="0" quotePrefix="0" xfId="0"/>
    <xf numFmtId="170" fontId="22" fillId="2" borderId="1" pivotButton="0" quotePrefix="0" xfId="0"/>
    <xf numFmtId="170" fontId="22" fillId="3" borderId="1" pivotButton="0" quotePrefix="0" xfId="0"/>
    <xf numFmtId="170" fontId="41" fillId="2" borderId="1" pivotButton="0" quotePrefix="0" xfId="0"/>
    <xf numFmtId="0" fontId="41" fillId="2" borderId="1" pivotButton="0" quotePrefix="0" xfId="0"/>
    <xf numFmtId="3" fontId="22" fillId="2" borderId="18" applyAlignment="1" pivotButton="0" quotePrefix="0" xfId="0">
      <alignment horizontal="center"/>
    </xf>
    <xf numFmtId="0" fontId="42" fillId="2" borderId="127" applyAlignment="1" pivotButton="0" quotePrefix="0" xfId="0">
      <alignment horizontal="center"/>
    </xf>
    <xf numFmtId="0" fontId="1" fillId="2" borderId="1" applyAlignment="1" pivotButton="0" quotePrefix="0" xfId="0">
      <alignment horizontal="center"/>
    </xf>
    <xf numFmtId="0" fontId="42" fillId="2" borderId="1" applyAlignment="1" pivotButton="0" quotePrefix="0" xfId="0">
      <alignment horizontal="center"/>
    </xf>
    <xf numFmtId="3" fontId="18" fillId="2" borderId="18" applyAlignment="1" pivotButton="0" quotePrefix="0" xfId="0">
      <alignment horizontal="left"/>
    </xf>
    <xf numFmtId="3" fontId="18" fillId="2" borderId="131" applyAlignment="1" pivotButton="0" quotePrefix="0" xfId="0">
      <alignment horizontal="right"/>
    </xf>
    <xf numFmtId="0" fontId="43" fillId="2" borderId="1" pivotButton="0" quotePrefix="0" xfId="0"/>
    <xf numFmtId="4" fontId="18" fillId="2" borderId="131" applyAlignment="1" pivotButton="0" quotePrefix="0" xfId="0">
      <alignment horizontal="right"/>
    </xf>
    <xf numFmtId="169" fontId="18" fillId="2" borderId="52" applyAlignment="1" pivotButton="0" quotePrefix="0" xfId="0">
      <alignment horizontal="right"/>
    </xf>
    <xf numFmtId="0" fontId="43" fillId="2" borderId="52" pivotButton="0" quotePrefix="0" xfId="0"/>
    <xf numFmtId="10" fontId="43" fillId="2" borderId="1" applyAlignment="1" pivotButton="0" quotePrefix="0" xfId="0">
      <alignment horizontal="center"/>
    </xf>
    <xf numFmtId="169" fontId="18" fillId="2" borderId="130" applyAlignment="1" pivotButton="0" quotePrefix="0" xfId="0">
      <alignment horizontal="right"/>
    </xf>
    <xf numFmtId="4" fontId="22" fillId="2" borderId="18" applyAlignment="1" pivotButton="0" quotePrefix="0" xfId="0">
      <alignment horizontal="right"/>
    </xf>
    <xf numFmtId="0" fontId="43" fillId="3" borderId="130" pivotButton="0" quotePrefix="0" xfId="0"/>
    <xf numFmtId="0" fontId="43" fillId="3" borderId="52" pivotButton="0" quotePrefix="0" xfId="0"/>
    <xf numFmtId="0" fontId="43" fillId="3" borderId="1" pivotButton="0" quotePrefix="0" xfId="0"/>
    <xf numFmtId="4" fontId="18" fillId="2" borderId="101" pivotButton="0" quotePrefix="0" xfId="0"/>
    <xf numFmtId="170" fontId="18" fillId="2" borderId="1" pivotButton="0" quotePrefix="0" xfId="0"/>
    <xf numFmtId="4" fontId="36" fillId="2" borderId="1" pivotButton="0" quotePrefix="0" xfId="0"/>
    <xf numFmtId="3" fontId="18" fillId="2" borderId="1" applyAlignment="1" pivotButton="0" quotePrefix="0" xfId="0">
      <alignment horizontal="right"/>
    </xf>
    <xf numFmtId="170" fontId="7" fillId="2" borderId="1" pivotButton="0" quotePrefix="0" xfId="0"/>
    <xf numFmtId="4" fontId="40" fillId="2" borderId="127" pivotButton="0" quotePrefix="0" xfId="0"/>
    <xf numFmtId="4" fontId="18" fillId="2" borderId="1" applyAlignment="1" pivotButton="0" quotePrefix="0" xfId="0">
      <alignment horizontal="right"/>
    </xf>
    <xf numFmtId="4" fontId="40" fillId="2" borderId="1" pivotButton="0" quotePrefix="0" xfId="0"/>
    <xf numFmtId="4" fontId="18" fillId="2" borderId="130" pivotButton="0" quotePrefix="0" xfId="0"/>
    <xf numFmtId="3" fontId="18" fillId="2" borderId="52" applyAlignment="1" pivotButton="0" quotePrefix="0" xfId="0">
      <alignment horizontal="right"/>
    </xf>
    <xf numFmtId="4" fontId="18" fillId="2" borderId="101" applyAlignment="1" pivotButton="0" quotePrefix="0" xfId="0">
      <alignment horizontal="right"/>
    </xf>
    <xf numFmtId="170" fontId="18" fillId="2" borderId="52" applyAlignment="1" pivotButton="0" quotePrefix="0" xfId="0">
      <alignment horizontal="right"/>
    </xf>
    <xf numFmtId="170" fontId="18" fillId="2" borderId="52" pivotButton="0" quotePrefix="0" xfId="0"/>
    <xf numFmtId="171" fontId="18" fillId="2" borderId="52" pivotButton="0" quotePrefix="0" xfId="0"/>
    <xf numFmtId="170" fontId="18" fillId="2" borderId="101" pivotButton="0" quotePrefix="0" xfId="0"/>
    <xf numFmtId="170" fontId="18" fillId="2" borderId="18" applyAlignment="1" pivotButton="0" quotePrefix="0" xfId="0">
      <alignment horizontal="right"/>
    </xf>
    <xf numFmtId="0" fontId="44" fillId="2" borderId="52" applyAlignment="1" pivotButton="0" quotePrefix="0" xfId="0">
      <alignment horizontal="left" vertical="center"/>
    </xf>
    <xf numFmtId="10" fontId="45" fillId="2" borderId="1" pivotButton="0" quotePrefix="0" xfId="0"/>
    <xf numFmtId="4" fontId="24" fillId="2" borderId="1" pivotButton="0" quotePrefix="0" xfId="0"/>
    <xf numFmtId="0" fontId="18" fillId="2" borderId="1" applyAlignment="1" pivotButton="0" quotePrefix="0" xfId="0">
      <alignment vertical="center"/>
    </xf>
    <xf numFmtId="0" fontId="18" fillId="2" borderId="18" applyAlignment="1" pivotButton="0" quotePrefix="0" xfId="0">
      <alignment horizontal="left" vertical="center"/>
    </xf>
    <xf numFmtId="2" fontId="18" fillId="2" borderId="18" pivotButton="0" quotePrefix="0" xfId="0"/>
    <xf numFmtId="3" fontId="24" fillId="2" borderId="1" pivotButton="0" quotePrefix="0" xfId="0"/>
    <xf numFmtId="4" fontId="22" fillId="2" borderId="52" pivotButton="0" quotePrefix="0" xfId="0"/>
    <xf numFmtId="3" fontId="22" fillId="2" borderId="1" pivotButton="0" quotePrefix="0" xfId="0"/>
    <xf numFmtId="4" fontId="22" fillId="3" borderId="52" pivotButton="0" quotePrefix="0" xfId="0"/>
    <xf numFmtId="0" fontId="46" fillId="2" borderId="18" applyAlignment="1" pivotButton="0" quotePrefix="0" xfId="0">
      <alignment horizontal="center"/>
    </xf>
    <xf numFmtId="3" fontId="32" fillId="2" borderId="1" pivotButton="0" quotePrefix="0" xfId="0"/>
    <xf numFmtId="0" fontId="39" fillId="2" borderId="1" applyAlignment="1" pivotButton="0" quotePrefix="0" xfId="0">
      <alignment horizontal="center"/>
    </xf>
    <xf numFmtId="3" fontId="18" fillId="2" borderId="1" pivotButton="0" quotePrefix="0" xfId="0"/>
    <xf numFmtId="0" fontId="18" fillId="2" borderId="18" applyAlignment="1" pivotButton="0" quotePrefix="0" xfId="0">
      <alignment vertical="center"/>
    </xf>
    <xf numFmtId="3" fontId="22" fillId="3" borderId="52" pivotButton="0" quotePrefix="0" xfId="0"/>
    <xf numFmtId="0" fontId="45" fillId="2" borderId="1" pivotButton="0" quotePrefix="0" xfId="0"/>
    <xf numFmtId="4" fontId="18" fillId="2" borderId="132" pivotButton="0" quotePrefix="0" xfId="0"/>
    <xf numFmtId="0" fontId="1" fillId="2" borderId="132" pivotButton="0" quotePrefix="0" xfId="0"/>
    <xf numFmtId="0" fontId="18" fillId="3" borderId="135" applyAlignment="1" pivotButton="0" quotePrefix="0" xfId="0">
      <alignment horizontal="center"/>
    </xf>
    <xf numFmtId="0" fontId="4" fillId="2" borderId="136" applyAlignment="1" pivotButton="0" quotePrefix="0" xfId="0">
      <alignment horizontal="center"/>
    </xf>
    <xf numFmtId="10" fontId="4" fillId="2" borderId="131" pivotButton="0" quotePrefix="0" xfId="0"/>
    <xf numFmtId="0" fontId="4" fillId="2" borderId="18" applyAlignment="1" pivotButton="0" quotePrefix="0" xfId="0">
      <alignment horizontal="center"/>
    </xf>
    <xf numFmtId="2" fontId="4" fillId="2" borderId="129" applyAlignment="1" pivotButton="0" quotePrefix="0" xfId="0">
      <alignment horizontal="center"/>
    </xf>
    <xf numFmtId="4" fontId="4" fillId="2" borderId="131" pivotButton="0" quotePrefix="0" xfId="0"/>
    <xf numFmtId="10" fontId="18" fillId="3" borderId="131" applyAlignment="1" pivotButton="0" quotePrefix="0" xfId="0">
      <alignment horizontal="center"/>
    </xf>
    <xf numFmtId="0" fontId="7" fillId="2" borderId="18" applyAlignment="1" pivotButton="0" quotePrefix="0" xfId="0">
      <alignment horizontal="center"/>
    </xf>
    <xf numFmtId="0" fontId="4" fillId="2" borderId="131" applyAlignment="1" pivotButton="0" quotePrefix="0" xfId="0">
      <alignment horizontal="center"/>
    </xf>
    <xf numFmtId="10" fontId="18" fillId="2" borderId="52" applyAlignment="1" pivotButton="0" quotePrefix="0" xfId="0">
      <alignment horizontal="center"/>
    </xf>
    <xf numFmtId="0" fontId="7" fillId="2" borderId="52" applyAlignment="1" pivotButton="0" quotePrefix="0" xfId="0">
      <alignment horizontal="right"/>
    </xf>
    <xf numFmtId="13" fontId="18" fillId="2" borderId="52" applyAlignment="1" pivotButton="0" quotePrefix="0" xfId="0">
      <alignment horizontal="center"/>
    </xf>
    <xf numFmtId="0" fontId="4" fillId="2" borderId="18" pivotButton="0" quotePrefix="0" xfId="0"/>
    <xf numFmtId="0" fontId="4" fillId="3" borderId="131" applyAlignment="1" pivotButton="0" quotePrefix="0" xfId="0">
      <alignment horizontal="center"/>
    </xf>
    <xf numFmtId="0" fontId="4" fillId="2" borderId="52" applyAlignment="1" pivotButton="0" quotePrefix="0" xfId="0">
      <alignment horizontal="right"/>
    </xf>
    <xf numFmtId="0" fontId="4" fillId="3" borderId="18" applyAlignment="1" pivotButton="0" quotePrefix="0" xfId="0">
      <alignment horizontal="center"/>
    </xf>
    <xf numFmtId="0" fontId="7" fillId="2" borderId="37" applyAlignment="1" pivotButton="0" quotePrefix="0" xfId="0">
      <alignment horizontal="right"/>
    </xf>
    <xf numFmtId="0" fontId="7" fillId="2" borderId="41" applyAlignment="1" pivotButton="0" quotePrefix="0" xfId="0">
      <alignment horizontal="right"/>
    </xf>
    <xf numFmtId="0" fontId="7" fillId="2" borderId="55" applyAlignment="1" pivotButton="0" quotePrefix="0" xfId="0">
      <alignment horizontal="right"/>
    </xf>
    <xf numFmtId="0" fontId="7" fillId="2" borderId="18" applyAlignment="1" pivotButton="0" quotePrefix="0" xfId="0">
      <alignment horizontal="right"/>
    </xf>
    <xf numFmtId="0" fontId="21" fillId="2" borderId="54" applyAlignment="1" pivotButton="0" quotePrefix="0" xfId="0">
      <alignment horizontal="right"/>
    </xf>
    <xf numFmtId="0" fontId="34" fillId="2" borderId="52" pivotButton="0" quotePrefix="0" xfId="0"/>
    <xf numFmtId="164" fontId="18" fillId="2" borderId="46" applyAlignment="1" pivotButton="0" quotePrefix="0" xfId="0">
      <alignment horizontal="center"/>
    </xf>
    <xf numFmtId="0" fontId="7" fillId="2" borderId="56" applyAlignment="1" pivotButton="0" quotePrefix="0" xfId="0">
      <alignment horizontal="right"/>
    </xf>
    <xf numFmtId="167" fontId="18" fillId="3" borderId="13" applyAlignment="1" pivotButton="0" quotePrefix="0" xfId="0">
      <alignment horizontal="center"/>
    </xf>
    <xf numFmtId="0" fontId="7" fillId="2" borderId="59" applyAlignment="1" pivotButton="0" quotePrefix="0" xfId="0">
      <alignment horizontal="right"/>
    </xf>
    <xf numFmtId="0" fontId="34" fillId="2" borderId="61" applyAlignment="1" pivotButton="0" quotePrefix="0" xfId="0">
      <alignment horizontal="center"/>
    </xf>
    <xf numFmtId="0" fontId="0" fillId="0" borderId="0" pivotButton="0" quotePrefix="0" xfId="0"/>
    <xf numFmtId="0" fontId="10" fillId="0" borderId="127" applyAlignment="1" pivotButton="0" quotePrefix="0" xfId="0">
      <alignment horizontal="center" vertical="center"/>
    </xf>
    <xf numFmtId="0" fontId="0" fillId="0" borderId="19" pivotButton="0" quotePrefix="0" xfId="0"/>
    <xf numFmtId="0" fontId="0" fillId="0" borderId="20" pivotButton="0" quotePrefix="0" xfId="0"/>
    <xf numFmtId="0" fontId="4" fillId="3" borderId="127" applyAlignment="1" pivotButton="0" quotePrefix="0" xfId="0">
      <alignment vertical="top" wrapText="1"/>
    </xf>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9" fillId="3" borderId="127" pivotButton="0" quotePrefix="0" xfId="0"/>
    <xf numFmtId="0" fontId="4" fillId="3" borderId="127" applyAlignment="1" pivotButton="0" quotePrefix="0" xfId="0">
      <alignment wrapText="1"/>
    </xf>
    <xf numFmtId="0" fontId="19" fillId="3" borderId="127" applyAlignment="1" pivotButton="0" quotePrefix="0" xfId="0">
      <alignment vertical="top" wrapText="1"/>
    </xf>
    <xf numFmtId="0" fontId="18" fillId="3" borderId="127" pivotButton="0" quotePrefix="0" xfId="0"/>
    <xf numFmtId="0" fontId="18" fillId="3" borderId="127" applyAlignment="1" pivotButton="0" quotePrefix="0" xfId="0">
      <alignment wrapText="1"/>
    </xf>
    <xf numFmtId="0" fontId="18" fillId="3" borderId="127" applyAlignment="1" pivotButton="0" quotePrefix="0" xfId="0">
      <alignment vertical="top" wrapText="1"/>
    </xf>
    <xf numFmtId="0" fontId="1" fillId="3" borderId="127" applyAlignment="1" pivotButton="0" quotePrefix="0" xfId="0">
      <alignment wrapText="1"/>
    </xf>
    <xf numFmtId="0" fontId="4" fillId="3" borderId="127" applyAlignment="1" pivotButton="0" quotePrefix="0" xfId="0">
      <alignment horizontal="center"/>
    </xf>
    <xf numFmtId="0" fontId="4" fillId="3" borderId="127" pivotButton="0" quotePrefix="0" xfId="0"/>
    <xf numFmtId="0" fontId="18" fillId="2" borderId="149" applyAlignment="1" pivotButton="0" quotePrefix="0" xfId="0">
      <alignment horizontal="left" vertical="center" wrapText="1"/>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49" fontId="18" fillId="2" borderId="149" applyAlignment="1" pivotButton="0" quotePrefix="0" xfId="0">
      <alignment horizontal="left" vertical="center" wrapText="1"/>
    </xf>
    <xf numFmtId="0" fontId="18" fillId="2" borderId="150" applyAlignment="1" pivotButton="0" quotePrefix="0" xfId="0">
      <alignment horizontal="right"/>
    </xf>
    <xf numFmtId="0" fontId="0" fillId="0" borderId="38" pivotButton="0" quotePrefix="0" xfId="0"/>
    <xf numFmtId="4" fontId="18" fillId="2" borderId="3" applyAlignment="1" pivotButton="0" quotePrefix="0" xfId="0">
      <alignment horizontal="center"/>
    </xf>
    <xf numFmtId="0" fontId="18" fillId="2" borderId="128" applyAlignment="1" pivotButton="0" quotePrefix="0" xfId="0">
      <alignment horizontal="right"/>
    </xf>
    <xf numFmtId="4" fontId="18" fillId="2" borderId="4" applyAlignment="1" pivotButton="0" quotePrefix="0" xfId="0">
      <alignment horizontal="center"/>
    </xf>
    <xf numFmtId="0" fontId="18" fillId="2" borderId="151" applyAlignment="1" pivotButton="0" quotePrefix="0" xfId="0">
      <alignment horizontal="right"/>
    </xf>
    <xf numFmtId="4" fontId="18" fillId="2" borderId="143" applyAlignment="1" pivotButton="0" quotePrefix="0" xfId="0">
      <alignment horizontal="center"/>
    </xf>
    <xf numFmtId="0" fontId="18" fillId="2" borderId="127" applyAlignment="1" pivotButton="0" quotePrefix="0" xfId="0">
      <alignment horizontal="right"/>
    </xf>
    <xf numFmtId="4" fontId="18" fillId="2" borderId="152" applyAlignment="1" pivotButton="0" quotePrefix="0" xfId="0">
      <alignment horizontal="center"/>
    </xf>
    <xf numFmtId="0" fontId="20" fillId="2" borderId="153" applyAlignment="1" pivotButton="0" quotePrefix="0" xfId="0">
      <alignment horizontal="right"/>
    </xf>
    <xf numFmtId="4" fontId="18" fillId="2" borderId="1" applyAlignment="1" pivotButton="0" quotePrefix="0" xfId="0">
      <alignment horizontal="center"/>
    </xf>
    <xf numFmtId="0" fontId="18" fillId="2" borderId="152" applyAlignment="1" pivotButton="0" quotePrefix="0" xfId="0">
      <alignment horizontal="center"/>
    </xf>
    <xf numFmtId="0" fontId="20" fillId="2" borderId="8" applyAlignment="1" pivotButton="0" quotePrefix="0" xfId="0">
      <alignment horizontal="right"/>
    </xf>
    <xf numFmtId="0" fontId="21" fillId="2" borderId="1" applyAlignment="1" pivotButton="0" quotePrefix="0" xfId="0">
      <alignment horizontal="right"/>
    </xf>
    <xf numFmtId="0" fontId="18" fillId="2" borderId="9" applyAlignment="1" pivotButton="0" quotePrefix="0" xfId="0">
      <alignment horizontal="center"/>
    </xf>
    <xf numFmtId="0" fontId="18" fillId="2" borderId="146" applyAlignment="1" pivotButton="0" quotePrefix="0" xfId="0">
      <alignment horizontal="right"/>
    </xf>
    <xf numFmtId="166" fontId="18" fillId="2" borderId="152" applyAlignment="1" pivotButton="0" quotePrefix="0" xfId="0">
      <alignment horizontal="center"/>
    </xf>
    <xf numFmtId="0" fontId="18" fillId="2" borderId="12" applyAlignment="1" pivotButton="0" quotePrefix="0" xfId="0">
      <alignment horizontal="right"/>
    </xf>
    <xf numFmtId="0" fontId="18" fillId="2" borderId="154" applyAlignment="1" pivotButton="0" quotePrefix="0" xfId="0">
      <alignment horizontal="right"/>
    </xf>
    <xf numFmtId="0" fontId="0" fillId="0" borderId="60" pivotButton="0" quotePrefix="0" xfId="0"/>
    <xf numFmtId="0" fontId="18" fillId="2" borderId="155" applyAlignment="1" pivotButton="0" quotePrefix="0" xfId="0">
      <alignment horizontal="center"/>
    </xf>
    <xf numFmtId="0" fontId="4" fillId="3" borderId="127" applyAlignment="1" pivotButton="0" quotePrefix="0" xfId="0">
      <alignment vertical="center" wrapText="1"/>
    </xf>
    <xf numFmtId="0" fontId="8" fillId="3" borderId="127" applyAlignment="1" pivotButton="0" quotePrefix="0" xfId="0">
      <alignment horizontal="center" vertical="center" wrapText="1"/>
    </xf>
    <xf numFmtId="0" fontId="8" fillId="2" borderId="11" applyAlignment="1" pivotButton="0" quotePrefix="0" xfId="0">
      <alignment horizontal="right" vertical="center" textRotation="90" wrapText="1"/>
    </xf>
    <xf numFmtId="0" fontId="18" fillId="3" borderId="127" applyAlignment="1" pivotButton="0" quotePrefix="0" xfId="0">
      <alignment horizontal="center" vertical="center" wrapText="1"/>
    </xf>
    <xf numFmtId="0" fontId="4" fillId="3" borderId="127" applyAlignment="1" pivotButton="0" quotePrefix="0" xfId="0">
      <alignment horizontal="center" vertical="center" wrapText="1"/>
    </xf>
    <xf numFmtId="0" fontId="8" fillId="2" borderId="143" applyAlignment="1" pivotButton="0" quotePrefix="0" xfId="0">
      <alignment horizontal="left" vertical="center" textRotation="180" wrapText="1"/>
    </xf>
    <xf numFmtId="0" fontId="0" fillId="0" borderId="66" pivotButton="0" quotePrefix="0" xfId="0"/>
    <xf numFmtId="0" fontId="8" fillId="4" borderId="149" applyAlignment="1" pivotButton="0" quotePrefix="0" xfId="0">
      <alignment horizontal="center" vertical="center"/>
    </xf>
    <xf numFmtId="0" fontId="0" fillId="0" borderId="70" pivotButton="0" quotePrefix="0" xfId="0"/>
    <xf numFmtId="0" fontId="18" fillId="4" borderId="149" applyAlignment="1" pivotButton="0" quotePrefix="0" xfId="0">
      <alignment horizontal="center" vertical="center"/>
    </xf>
    <xf numFmtId="0" fontId="0" fillId="0" borderId="71" pivotButton="0" quotePrefix="0" xfId="0"/>
    <xf numFmtId="0" fontId="18" fillId="3" borderId="144" applyAlignment="1" pivotButton="0" quotePrefix="0" xfId="0">
      <alignment horizontal="center" vertical="center" wrapText="1"/>
    </xf>
    <xf numFmtId="0" fontId="22" fillId="3" borderId="128" applyAlignment="1" pivotButton="0" quotePrefix="0" xfId="0">
      <alignment horizontal="left" vertical="center" wrapText="1"/>
    </xf>
    <xf numFmtId="0" fontId="0" fillId="0" borderId="75" pivotButton="0" quotePrefix="0" xfId="0"/>
    <xf numFmtId="0" fontId="18" fillId="3" borderId="128" applyAlignment="1" pivotButton="0" quotePrefix="0" xfId="0">
      <alignment horizontal="center" vertical="center" wrapText="1"/>
    </xf>
    <xf numFmtId="0" fontId="18" fillId="3" borderId="127" applyAlignment="1" pivotButton="0" quotePrefix="0" xfId="0">
      <alignment horizontal="left" vertical="center" wrapText="1"/>
    </xf>
    <xf numFmtId="0" fontId="8" fillId="4" borderId="156" applyAlignment="1" pivotButton="0" quotePrefix="0" xfId="0">
      <alignment horizontal="center" vertical="center"/>
    </xf>
    <xf numFmtId="0" fontId="4" fillId="3" borderId="144" applyAlignment="1" pivotButton="0" quotePrefix="0" xfId="0">
      <alignment horizontal="left" vertical="top" wrapText="1"/>
    </xf>
    <xf numFmtId="0" fontId="4" fillId="3" borderId="144" applyAlignment="1" pivotButton="0" quotePrefix="0" xfId="0">
      <alignment vertical="top" wrapText="1"/>
    </xf>
    <xf numFmtId="0" fontId="8" fillId="3" borderId="149" applyAlignment="1" pivotButton="0" quotePrefix="0" xfId="0">
      <alignment horizontal="left" vertical="center" wrapText="1"/>
    </xf>
    <xf numFmtId="3" fontId="4" fillId="3" borderId="127" applyAlignment="1" pivotButton="0" quotePrefix="0" xfId="0">
      <alignment horizontal="center" vertical="center" wrapText="1"/>
    </xf>
    <xf numFmtId="3" fontId="23" fillId="3" borderId="127" applyAlignment="1" pivotButton="0" quotePrefix="0" xfId="0">
      <alignment horizontal="left" vertical="center" wrapText="1"/>
    </xf>
    <xf numFmtId="0" fontId="4" fillId="3" borderId="127" applyAlignment="1" pivotButton="0" quotePrefix="0" xfId="0">
      <alignment horizontal="left" vertical="center" wrapText="1"/>
    </xf>
    <xf numFmtId="0" fontId="8" fillId="2" borderId="127" applyAlignment="1" pivotButton="0" quotePrefix="0" xfId="0">
      <alignment horizontal="center" vertical="center"/>
    </xf>
    <xf numFmtId="0" fontId="4" fillId="2" borderId="11" applyAlignment="1" pivotButton="0" quotePrefix="0" xfId="0">
      <alignment horizontal="center" vertical="center"/>
    </xf>
    <xf numFmtId="0" fontId="18" fillId="3" borderId="127" applyAlignment="1" pivotButton="0" quotePrefix="0" xfId="0">
      <alignment horizontal="left" vertical="top" wrapText="1"/>
    </xf>
    <xf numFmtId="0" fontId="8" fillId="2" borderId="1" applyAlignment="1" pivotButton="0" quotePrefix="0" xfId="0">
      <alignment horizontal="center" vertical="center" wrapText="1"/>
    </xf>
    <xf numFmtId="0" fontId="4" fillId="3" borderId="149" applyAlignment="1" pivotButton="0" quotePrefix="0" xfId="0">
      <alignment horizontal="left" vertical="center" wrapText="1"/>
    </xf>
    <xf numFmtId="0" fontId="24" fillId="2" borderId="158" applyAlignment="1" pivotButton="0" quotePrefix="0" xfId="0">
      <alignment horizontal="center" vertical="center"/>
    </xf>
    <xf numFmtId="0" fontId="24" fillId="2" borderId="159" applyAlignment="1" pivotButton="0" quotePrefix="0" xfId="0">
      <alignment horizontal="center" vertical="center"/>
    </xf>
    <xf numFmtId="0" fontId="24" fillId="2" borderId="157" applyAlignment="1" pivotButton="0" quotePrefix="0" xfId="0">
      <alignment horizontal="center" vertical="center"/>
    </xf>
    <xf numFmtId="0" fontId="24" fillId="2" borderId="160" applyAlignment="1" pivotButton="0" quotePrefix="0" xfId="0">
      <alignment horizontal="center" vertical="center"/>
    </xf>
    <xf numFmtId="0" fontId="25" fillId="3" borderId="151" applyAlignment="1" pivotButton="0" quotePrefix="0" xfId="0">
      <alignment horizontal="center" vertical="center" wrapText="1"/>
    </xf>
    <xf numFmtId="0" fontId="25" fillId="3" borderId="143" applyAlignment="1" pivotButton="0" quotePrefix="0" xfId="0">
      <alignment horizontal="center" vertical="center" wrapText="1"/>
    </xf>
    <xf numFmtId="0" fontId="26" fillId="3" borderId="144" applyAlignment="1" pivotButton="0" quotePrefix="0" xfId="0">
      <alignment horizontal="center" vertical="center" wrapText="1"/>
    </xf>
    <xf numFmtId="0" fontId="26" fillId="3" borderId="143" applyAlignment="1" pivotButton="0" quotePrefix="0" xfId="0">
      <alignment horizontal="center" vertical="center" wrapText="1"/>
    </xf>
    <xf numFmtId="0" fontId="26" fillId="3" borderId="161" applyAlignment="1" pivotButton="0" quotePrefix="0" xfId="0">
      <alignment horizontal="center" vertical="center" wrapText="1"/>
    </xf>
    <xf numFmtId="0" fontId="24" fillId="2" borderId="142" applyAlignment="1" pivotButton="0" quotePrefix="0" xfId="0">
      <alignment horizontal="center" vertical="center"/>
    </xf>
    <xf numFmtId="0" fontId="0" fillId="0" borderId="89" pivotButton="0" quotePrefix="0" xfId="0"/>
    <xf numFmtId="0" fontId="0" fillId="0" borderId="90" pivotButton="0" quotePrefix="0" xfId="0"/>
    <xf numFmtId="0" fontId="24" fillId="2" borderId="163" applyAlignment="1" pivotButton="0" quotePrefix="0" xfId="0">
      <alignment horizontal="center" vertical="center"/>
    </xf>
    <xf numFmtId="0" fontId="24" fillId="2" borderId="162" applyAlignment="1" pivotButton="0" quotePrefix="0" xfId="0">
      <alignment horizontal="center" vertical="center"/>
    </xf>
    <xf numFmtId="0" fontId="0" fillId="0" borderId="92" pivotButton="0" quotePrefix="0" xfId="0"/>
    <xf numFmtId="0" fontId="26" fillId="3" borderId="164" applyAlignment="1" pivotButton="0" quotePrefix="0" xfId="0">
      <alignment horizontal="center" vertical="center" wrapText="1"/>
    </xf>
    <xf numFmtId="0" fontId="26" fillId="3" borderId="155" applyAlignment="1" pivotButton="0" quotePrefix="0" xfId="0">
      <alignment horizontal="center" vertical="center" wrapText="1"/>
    </xf>
    <xf numFmtId="0" fontId="0" fillId="0" borderId="93" pivotButton="0" quotePrefix="0" xfId="0"/>
    <xf numFmtId="0" fontId="0" fillId="0" borderId="94" pivotButton="0" quotePrefix="0" xfId="0"/>
    <xf numFmtId="0" fontId="7" fillId="3" borderId="127" applyAlignment="1" pivotButton="0" quotePrefix="0" xfId="0">
      <alignment horizontal="left" vertical="top" wrapText="1"/>
    </xf>
    <xf numFmtId="0" fontId="18" fillId="2" borderId="1" applyAlignment="1" pivotButton="0" quotePrefix="0" xfId="0">
      <alignment horizontal="center" vertical="center" wrapText="1"/>
    </xf>
    <xf numFmtId="168" fontId="4" fillId="3" borderId="127" applyAlignment="1" pivotButton="0" quotePrefix="0" xfId="0">
      <alignment horizontal="center" vertical="center"/>
    </xf>
    <xf numFmtId="168" fontId="4" fillId="2" borderId="127" applyAlignment="1" pivotButton="0" quotePrefix="0" xfId="0">
      <alignment horizontal="center" vertical="center"/>
    </xf>
    <xf numFmtId="10" fontId="4" fillId="2" borderId="127" applyAlignment="1" pivotButton="0" quotePrefix="0" xfId="0">
      <alignment horizontal="center" vertical="center"/>
    </xf>
    <xf numFmtId="0" fontId="18" fillId="2" borderId="11" applyAlignment="1" pivotButton="0" quotePrefix="0" xfId="0">
      <alignment horizontal="center" vertical="center" wrapText="1"/>
    </xf>
    <xf numFmtId="0" fontId="17" fillId="3" borderId="127" applyAlignment="1" pivotButton="0" quotePrefix="0" xfId="0">
      <alignment horizontal="center" vertical="center" wrapText="1"/>
    </xf>
    <xf numFmtId="0" fontId="4" fillId="3" borderId="127" applyAlignment="1" pivotButton="0" quotePrefix="0" xfId="0">
      <alignment horizontal="center" vertical="center"/>
    </xf>
    <xf numFmtId="4" fontId="27" fillId="3" borderId="127" applyAlignment="1" pivotButton="0" quotePrefix="0" xfId="0">
      <alignment horizontal="center" vertical="center"/>
    </xf>
    <xf numFmtId="4" fontId="27" fillId="2" borderId="1" applyAlignment="1" pivotButton="0" quotePrefix="0" xfId="0">
      <alignment horizontal="center" vertical="center"/>
    </xf>
    <xf numFmtId="0" fontId="4" fillId="3" borderId="127" applyAlignment="1" pivotButton="0" quotePrefix="0" xfId="0">
      <alignment horizontal="left" vertical="top" wrapText="1"/>
    </xf>
    <xf numFmtId="0" fontId="18" fillId="0" borderId="127" applyAlignment="1" pivotButton="0" quotePrefix="0" xfId="0">
      <alignment vertical="top" wrapText="1"/>
    </xf>
    <xf numFmtId="0" fontId="4" fillId="0" borderId="127" applyAlignment="1" pivotButton="0" quotePrefix="0" xfId="0">
      <alignment vertical="top" wrapText="1"/>
    </xf>
    <xf numFmtId="4" fontId="4" fillId="3" borderId="127" applyAlignment="1" pivotButton="0" quotePrefix="0" xfId="0">
      <alignment horizontal="center" vertical="center"/>
    </xf>
    <xf numFmtId="0" fontId="4" fillId="2" borderId="11" applyAlignment="1" pivotButton="0" quotePrefix="0" xfId="0">
      <alignment horizontal="right" vertical="center"/>
    </xf>
    <xf numFmtId="0" fontId="4" fillId="2" borderId="127" applyAlignment="1" pivotButton="0" quotePrefix="0" xfId="0">
      <alignment horizontal="right" vertical="center"/>
    </xf>
    <xf numFmtId="0" fontId="5" fillId="2" borderId="127" applyAlignment="1" pivotButton="0" quotePrefix="0" xfId="0">
      <alignment horizontal="right" vertical="center" wrapText="1"/>
    </xf>
    <xf numFmtId="0" fontId="5" fillId="2" borderId="127" applyAlignment="1" pivotButton="0" quotePrefix="0" xfId="0">
      <alignment horizontal="right" vertical="center"/>
    </xf>
    <xf numFmtId="9" fontId="5" fillId="2" borderId="127" applyAlignment="1" pivotButton="0" quotePrefix="0" xfId="0">
      <alignment horizontal="center" vertical="center"/>
    </xf>
    <xf numFmtId="0" fontId="5" fillId="3" borderId="127" applyAlignment="1" pivotButton="0" quotePrefix="0" xfId="0">
      <alignment horizontal="center" vertical="center"/>
    </xf>
    <xf numFmtId="0" fontId="5" fillId="2" borderId="127" applyAlignment="1" pivotButton="0" quotePrefix="0" xfId="0">
      <alignment horizontal="center" vertical="center" wrapText="1"/>
    </xf>
    <xf numFmtId="0" fontId="8" fillId="3" borderId="127" applyAlignment="1" pivotButton="0" quotePrefix="0" xfId="0">
      <alignment vertical="top" wrapText="1"/>
    </xf>
    <xf numFmtId="0" fontId="22" fillId="2" borderId="16" applyAlignment="1" pivotButton="0" quotePrefix="0" xfId="0">
      <alignment horizontal="center" vertical="center" wrapText="1"/>
    </xf>
    <xf numFmtId="0" fontId="4" fillId="2" borderId="16" applyAlignment="1" pivotButton="0" quotePrefix="0" xfId="0">
      <alignment horizontal="center" vertical="center"/>
    </xf>
    <xf numFmtId="4" fontId="18" fillId="3" borderId="127" applyAlignment="1" pivotButton="0" quotePrefix="0" xfId="0">
      <alignment horizontal="center" vertical="center"/>
    </xf>
    <xf numFmtId="0" fontId="18" fillId="3" borderId="127" applyAlignment="1" pivotButton="0" quotePrefix="0" xfId="0">
      <alignment vertical="center"/>
    </xf>
    <xf numFmtId="0" fontId="0" fillId="0" borderId="105" pivotButton="0" quotePrefix="0" xfId="0"/>
    <xf numFmtId="0" fontId="17" fillId="2" borderId="1" applyAlignment="1" pivotButton="0" quotePrefix="0" xfId="0">
      <alignment horizontal="center" vertical="center" wrapText="1"/>
    </xf>
    <xf numFmtId="0" fontId="4" fillId="2" borderId="16" applyAlignment="1" pivotButton="0" quotePrefix="0" xfId="0">
      <alignment horizontal="center" wrapText="1"/>
    </xf>
    <xf numFmtId="0" fontId="19" fillId="3" borderId="127" applyAlignment="1" pivotButton="0" quotePrefix="0" xfId="0">
      <alignment horizontal="center" vertical="center"/>
    </xf>
    <xf numFmtId="0" fontId="18" fillId="2" borderId="149" applyAlignment="1" pivotButton="0" quotePrefix="0" xfId="0">
      <alignment horizontal="center" wrapText="1"/>
    </xf>
    <xf numFmtId="0" fontId="0" fillId="0" borderId="109" pivotButton="0" quotePrefix="0" xfId="0"/>
    <xf numFmtId="0" fontId="18" fillId="2" borderId="149" applyAlignment="1" pivotButton="0" quotePrefix="0" xfId="0">
      <alignment horizontal="right" vertical="center" wrapText="1"/>
    </xf>
    <xf numFmtId="0" fontId="5" fillId="3" borderId="150" applyAlignment="1" pivotButton="0" quotePrefix="0" xfId="0">
      <alignment horizontal="center" vertical="center"/>
    </xf>
    <xf numFmtId="0" fontId="5" fillId="3" borderId="128" applyAlignment="1" pivotButton="0" quotePrefix="0" xfId="0">
      <alignment horizontal="center" vertical="center"/>
    </xf>
    <xf numFmtId="0" fontId="5" fillId="3" borderId="157" applyAlignment="1" pivotButton="0" quotePrefix="0" xfId="0">
      <alignment horizontal="center" vertical="center"/>
    </xf>
    <xf numFmtId="0" fontId="5" fillId="3" borderId="167" applyAlignment="1" pivotButton="0" quotePrefix="0" xfId="0">
      <alignment horizontal="center" vertical="center"/>
    </xf>
    <xf numFmtId="0" fontId="0" fillId="0" borderId="114" pivotButton="0" quotePrefix="0" xfId="0"/>
    <xf numFmtId="0" fontId="0" fillId="0" borderId="115" pivotButton="0" quotePrefix="0" xfId="0"/>
    <xf numFmtId="0" fontId="0" fillId="0" borderId="116" pivotButton="0" quotePrefix="0" xfId="0"/>
    <xf numFmtId="0" fontId="0" fillId="0" borderId="117" pivotButton="0" quotePrefix="0" xfId="0"/>
    <xf numFmtId="0" fontId="5" fillId="3" borderId="146" applyAlignment="1" pivotButton="0" quotePrefix="0" xfId="0">
      <alignment horizontal="center" vertical="center"/>
    </xf>
    <xf numFmtId="0" fontId="5" fillId="3" borderId="168" applyAlignment="1" pivotButton="0" quotePrefix="0" xfId="0">
      <alignment horizontal="center" vertical="center"/>
    </xf>
    <xf numFmtId="0" fontId="5" fillId="3" borderId="165" applyAlignment="1" pivotButton="0" quotePrefix="0" xfId="0">
      <alignment horizontal="center" vertical="center"/>
    </xf>
    <xf numFmtId="0" fontId="5" fillId="3" borderId="169" applyAlignment="1" pivotButton="0" quotePrefix="0" xfId="0">
      <alignment horizontal="center" vertical="center"/>
    </xf>
    <xf numFmtId="0" fontId="5" fillId="3" borderId="154" applyAlignment="1" pivotButton="0" quotePrefix="0" xfId="0">
      <alignment horizontal="center" vertical="center"/>
    </xf>
    <xf numFmtId="0" fontId="5" fillId="3" borderId="170" applyAlignment="1" pivotButton="0" quotePrefix="0" xfId="0">
      <alignment horizontal="center" vertical="center"/>
    </xf>
    <xf numFmtId="0" fontId="0" fillId="0" borderId="124" pivotButton="0" quotePrefix="0" xfId="0"/>
    <xf numFmtId="0" fontId="0" fillId="0" borderId="125" pivotButton="0" quotePrefix="0" xfId="0"/>
    <xf numFmtId="0" fontId="0" fillId="0" borderId="126" pivotButton="0" quotePrefix="0" xfId="0"/>
    <xf numFmtId="0" fontId="18" fillId="2" borderId="127" applyAlignment="1" pivotButton="0" quotePrefix="0" xfId="0">
      <alignment horizontal="center" vertical="center" wrapText="1"/>
    </xf>
    <xf numFmtId="0" fontId="32" fillId="2" borderId="149" applyAlignment="1" pivotButton="0" quotePrefix="0" xfId="0">
      <alignment horizontal="center"/>
    </xf>
    <xf numFmtId="4" fontId="18" fillId="3" borderId="1" pivotButton="0" quotePrefix="0" xfId="0"/>
    <xf numFmtId="4" fontId="18" fillId="3" borderId="6" applyAlignment="1" pivotButton="0" quotePrefix="0" xfId="0">
      <alignment horizontal="right"/>
    </xf>
    <xf numFmtId="4" fontId="18" fillId="3" borderId="1" applyAlignment="1" pivotButton="0" quotePrefix="0" xfId="0">
      <alignment horizontal="right"/>
    </xf>
    <xf numFmtId="0" fontId="18" fillId="2" borderId="127" pivotButton="0" quotePrefix="0" xfId="0"/>
    <xf numFmtId="4" fontId="18" fillId="2" borderId="127" pivotButton="0" quotePrefix="0" xfId="0"/>
    <xf numFmtId="0" fontId="24" fillId="2" borderId="127" applyAlignment="1" pivotButton="0" quotePrefix="0" xfId="0">
      <alignment horizontal="left"/>
    </xf>
    <xf numFmtId="0" fontId="24" fillId="2" borderId="1" applyAlignment="1" pivotButton="0" quotePrefix="0" xfId="0">
      <alignment horizontal="left"/>
    </xf>
    <xf numFmtId="0" fontId="24" fillId="2" borderId="127" applyAlignment="1" pivotButton="0" quotePrefix="0" xfId="0">
      <alignment horizontal="center"/>
    </xf>
    <xf numFmtId="0" fontId="24" fillId="2" borderId="129" applyAlignment="1" pivotButton="0" quotePrefix="0" xfId="0">
      <alignment horizontal="center"/>
    </xf>
    <xf numFmtId="4" fontId="18" fillId="2" borderId="127" applyAlignment="1" pivotButton="0" quotePrefix="0" xfId="0">
      <alignment horizontal="right"/>
    </xf>
    <xf numFmtId="0" fontId="18" fillId="2" borderId="143" applyAlignment="1" pivotButton="0" quotePrefix="0" xfId="0">
      <alignment horizontal="right"/>
    </xf>
    <xf numFmtId="4" fontId="18" fillId="3" borderId="142" applyAlignment="1" pivotButton="0" quotePrefix="0" xfId="0">
      <alignment horizontal="right"/>
    </xf>
    <xf numFmtId="0" fontId="18" fillId="2" borderId="6" applyAlignment="1" pivotButton="0" quotePrefix="0" xfId="0">
      <alignment horizontal="right"/>
    </xf>
    <xf numFmtId="4" fontId="18" fillId="2" borderId="6" applyAlignment="1" pivotButton="0" quotePrefix="0" xfId="0">
      <alignment horizontal="right"/>
    </xf>
    <xf numFmtId="4" fontId="18" fillId="2" borderId="11" applyAlignment="1" pivotButton="0" quotePrefix="0" xfId="0">
      <alignment horizontal="right"/>
    </xf>
    <xf numFmtId="4" fontId="18" fillId="3" borderId="11" applyAlignment="1" pivotButton="0" quotePrefix="0" xfId="0">
      <alignment horizontal="right"/>
    </xf>
    <xf numFmtId="10" fontId="18" fillId="3" borderId="11" applyAlignment="1" pivotButton="0" quotePrefix="0" xfId="0">
      <alignment horizontal="center"/>
    </xf>
    <xf numFmtId="4" fontId="18" fillId="3" borderId="11" applyAlignment="1" pivotButton="0" quotePrefix="0" xfId="0">
      <alignment horizontal="center"/>
    </xf>
    <xf numFmtId="4" fontId="22" fillId="2" borderId="144" pivotButton="0" quotePrefix="0" xfId="0"/>
    <xf numFmtId="0" fontId="18" fillId="2" borderId="127" applyAlignment="1" pivotButton="0" quotePrefix="0" xfId="0">
      <alignment horizontal="left"/>
    </xf>
    <xf numFmtId="4" fontId="18" fillId="2" borderId="11" pivotButton="0" quotePrefix="0" xfId="0"/>
    <xf numFmtId="0" fontId="18" fillId="2" borderId="142" applyAlignment="1" pivotButton="0" quotePrefix="0" xfId="0">
      <alignment horizontal="right"/>
    </xf>
    <xf numFmtId="0" fontId="18" fillId="2" borderId="1" applyAlignment="1" pivotButton="0" quotePrefix="0" xfId="0">
      <alignment horizontal="center" wrapText="1"/>
    </xf>
    <xf numFmtId="4" fontId="18" fillId="2" borderId="143" applyAlignment="1" pivotButton="0" quotePrefix="0" xfId="0">
      <alignment horizontal="right"/>
    </xf>
    <xf numFmtId="4" fontId="18" fillId="3" borderId="143" applyAlignment="1" pivotButton="0" quotePrefix="0" xfId="0">
      <alignment horizontal="right"/>
    </xf>
    <xf numFmtId="0" fontId="24" fillId="2" borderId="127" pivotButton="0" quotePrefix="0" xfId="0"/>
    <xf numFmtId="4" fontId="24" fillId="2" borderId="127" pivotButton="0" quotePrefix="0" xfId="0"/>
    <xf numFmtId="4" fontId="18" fillId="2" borderId="143" pivotButton="0" quotePrefix="0" xfId="0"/>
    <xf numFmtId="0" fontId="18" fillId="2" borderId="144" applyAlignment="1" pivotButton="0" quotePrefix="0" xfId="0">
      <alignment horizontal="right"/>
    </xf>
    <xf numFmtId="4" fontId="18" fillId="2" borderId="144" pivotButton="0" quotePrefix="0" xfId="0"/>
    <xf numFmtId="0" fontId="4" fillId="2" borderId="149" applyAlignment="1" pivotButton="0" quotePrefix="0" xfId="0">
      <alignment horizontal="center"/>
    </xf>
    <xf numFmtId="0" fontId="4" fillId="2" borderId="171" applyAlignment="1" pivotButton="0" quotePrefix="0" xfId="0">
      <alignment horizontal="center"/>
    </xf>
    <xf numFmtId="0" fontId="22" fillId="2" borderId="1" applyAlignment="1" pivotButton="0" quotePrefix="0" xfId="0">
      <alignment horizontal="center" wrapText="1"/>
    </xf>
    <xf numFmtId="0" fontId="22" fillId="2" borderId="127" applyAlignment="1" pivotButton="0" quotePrefix="0" xfId="0">
      <alignment horizontal="center" wrapText="1"/>
    </xf>
    <xf numFmtId="0" fontId="36" fillId="2" borderId="6" applyAlignment="1" pivotButton="0" quotePrefix="0" xfId="0">
      <alignment horizontal="right"/>
    </xf>
    <xf numFmtId="0" fontId="18" fillId="2" borderId="156" applyAlignment="1" pivotButton="0" quotePrefix="0" xfId="0">
      <alignment horizontal="center"/>
    </xf>
    <xf numFmtId="0" fontId="7" fillId="2" borderId="137" applyAlignment="1" pivotButton="0" quotePrefix="0" xfId="0">
      <alignment horizontal="left"/>
    </xf>
    <xf numFmtId="0" fontId="18" fillId="2" borderId="10" applyAlignment="1" pivotButton="0" quotePrefix="0" xfId="0">
      <alignment horizontal="right"/>
    </xf>
    <xf numFmtId="0" fontId="18" fillId="2" borderId="5" applyAlignment="1" pivotButton="0" quotePrefix="0" xfId="0">
      <alignment horizontal="right"/>
    </xf>
    <xf numFmtId="0" fontId="18" fillId="2" borderId="15" applyAlignment="1" pivotButton="0" quotePrefix="0" xfId="0">
      <alignment horizontal="right"/>
    </xf>
    <xf numFmtId="0" fontId="22" fillId="2" borderId="144" applyAlignment="1" pivotButton="0" quotePrefix="0" xfId="0">
      <alignment horizontal="right"/>
    </xf>
    <xf numFmtId="0" fontId="34" fillId="2" borderId="127" applyAlignment="1" pivotButton="0" quotePrefix="0" xfId="0">
      <alignment horizontal="right"/>
    </xf>
    <xf numFmtId="0" fontId="22" fillId="2" borderId="127" applyAlignment="1" pivotButton="0" quotePrefix="0" xfId="0">
      <alignment horizontal="right"/>
    </xf>
    <xf numFmtId="3" fontId="22" fillId="2" borderId="1" applyAlignment="1" pivotButton="0" quotePrefix="0" xfId="0">
      <alignment horizontal="left" vertical="center"/>
    </xf>
    <xf numFmtId="3" fontId="22" fillId="2" borderId="127" applyAlignment="1" pivotButton="0" quotePrefix="0" xfId="0">
      <alignment horizontal="left"/>
    </xf>
    <xf numFmtId="0" fontId="22" fillId="2" borderId="127" applyAlignment="1" pivotButton="0" quotePrefix="0" xfId="0">
      <alignment horizontal="left"/>
    </xf>
    <xf numFmtId="169" fontId="22" fillId="2" borderId="1" applyAlignment="1" pivotButton="0" quotePrefix="0" xfId="0">
      <alignment horizontal="right"/>
    </xf>
    <xf numFmtId="169" fontId="22" fillId="2" borderId="127" applyAlignment="1" pivotButton="0" quotePrefix="0" xfId="0">
      <alignment horizontal="left"/>
    </xf>
    <xf numFmtId="169" fontId="22" fillId="2" borderId="1" applyAlignment="1" pivotButton="0" quotePrefix="0" xfId="0">
      <alignment horizontal="left"/>
    </xf>
    <xf numFmtId="169" fontId="22" fillId="2" borderId="127" applyAlignment="1" pivotButton="0" quotePrefix="0" xfId="0">
      <alignment horizontal="right"/>
    </xf>
    <xf numFmtId="0" fontId="40" fillId="2" borderId="127" applyAlignment="1" pivotButton="0" quotePrefix="0" xfId="0">
      <alignment horizontal="center"/>
    </xf>
    <xf numFmtId="0" fontId="1" fillId="2" borderId="16" pivotButton="0" quotePrefix="0" xfId="0"/>
    <xf numFmtId="0" fontId="40" fillId="2" borderId="6" applyAlignment="1" pivotButton="0" quotePrefix="0" xfId="0">
      <alignment horizontal="right"/>
    </xf>
    <xf numFmtId="0" fontId="40" fillId="2" borderId="1" applyAlignment="1" pivotButton="0" quotePrefix="0" xfId="0">
      <alignment horizontal="right"/>
    </xf>
    <xf numFmtId="0" fontId="40" fillId="2" borderId="142" applyAlignment="1" pivotButton="0" quotePrefix="0" xfId="0">
      <alignment horizontal="center"/>
    </xf>
    <xf numFmtId="0" fontId="40" fillId="2" borderId="6" applyAlignment="1" pivotButton="0" quotePrefix="0" xfId="0">
      <alignment horizontal="center"/>
    </xf>
    <xf numFmtId="0" fontId="22" fillId="2" borderId="136" applyAlignment="1" pivotButton="0" quotePrefix="0" xfId="0">
      <alignment horizontal="right"/>
    </xf>
    <xf numFmtId="0" fontId="22" fillId="2" borderId="127" pivotButton="0" quotePrefix="0" xfId="0"/>
    <xf numFmtId="3" fontId="22" fillId="2" borderId="127" applyAlignment="1" pivotButton="0" quotePrefix="0" xfId="0">
      <alignment horizontal="center"/>
    </xf>
    <xf numFmtId="3" fontId="18" fillId="2" borderId="127" applyAlignment="1" pivotButton="0" quotePrefix="0" xfId="0">
      <alignment horizontal="left"/>
    </xf>
    <xf numFmtId="3" fontId="18" fillId="2" borderId="137" applyAlignment="1" pivotButton="0" quotePrefix="0" xfId="0">
      <alignment horizontal="right"/>
    </xf>
    <xf numFmtId="4" fontId="18" fillId="2" borderId="137" applyAlignment="1" pivotButton="0" quotePrefix="0" xfId="0">
      <alignment horizontal="right"/>
    </xf>
    <xf numFmtId="169" fontId="18" fillId="2" borderId="1" applyAlignment="1" pivotButton="0" quotePrefix="0" xfId="0">
      <alignment horizontal="right"/>
    </xf>
    <xf numFmtId="169" fontId="18" fillId="2" borderId="6" applyAlignment="1" pivotButton="0" quotePrefix="0" xfId="0">
      <alignment horizontal="right"/>
    </xf>
    <xf numFmtId="0" fontId="43" fillId="3" borderId="6" pivotButton="0" quotePrefix="0" xfId="0"/>
    <xf numFmtId="4" fontId="18" fillId="2" borderId="16" pivotButton="0" quotePrefix="0" xfId="0"/>
    <xf numFmtId="4" fontId="18" fillId="2" borderId="6" pivotButton="0" quotePrefix="0" xfId="0"/>
    <xf numFmtId="4" fontId="18" fillId="2" borderId="16" applyAlignment="1" pivotButton="0" quotePrefix="0" xfId="0">
      <alignment horizontal="right"/>
    </xf>
    <xf numFmtId="170" fontId="18" fillId="2" borderId="1" applyAlignment="1" pivotButton="0" quotePrefix="0" xfId="0">
      <alignment horizontal="right"/>
    </xf>
    <xf numFmtId="171" fontId="18" fillId="2" borderId="1" pivotButton="0" quotePrefix="0" xfId="0"/>
    <xf numFmtId="170" fontId="18" fillId="2" borderId="16" pivotButton="0" quotePrefix="0" xfId="0"/>
    <xf numFmtId="170" fontId="18" fillId="2" borderId="127" applyAlignment="1" pivotButton="0" quotePrefix="0" xfId="0">
      <alignment horizontal="right"/>
    </xf>
    <xf numFmtId="0" fontId="44" fillId="2" borderId="1" applyAlignment="1" pivotButton="0" quotePrefix="0" xfId="0">
      <alignment horizontal="left" vertical="center"/>
    </xf>
    <xf numFmtId="0" fontId="18" fillId="2" borderId="127" applyAlignment="1" pivotButton="0" quotePrefix="0" xfId="0">
      <alignment horizontal="left" vertical="center"/>
    </xf>
    <xf numFmtId="2" fontId="18" fillId="2" borderId="127" pivotButton="0" quotePrefix="0" xfId="0"/>
    <xf numFmtId="0" fontId="46" fillId="2" borderId="127" applyAlignment="1" pivotButton="0" quotePrefix="0" xfId="0">
      <alignment horizontal="center"/>
    </xf>
    <xf numFmtId="0" fontId="18" fillId="2" borderId="127" applyAlignment="1" pivotButton="0" quotePrefix="0" xfId="0">
      <alignment vertical="center"/>
    </xf>
    <xf numFmtId="3" fontId="22" fillId="3" borderId="1" pivotButton="0" quotePrefix="0" xfId="0"/>
    <xf numFmtId="0" fontId="18" fillId="2" borderId="11" applyAlignment="1" pivotButton="0" quotePrefix="0" xfId="0">
      <alignment horizontal="right"/>
    </xf>
    <xf numFmtId="4" fontId="18" fillId="2" borderId="142" pivotButton="0" quotePrefix="0" xfId="0"/>
    <xf numFmtId="0" fontId="1" fillId="2" borderId="142" pivotButton="0" quotePrefix="0" xfId="0"/>
    <xf numFmtId="0" fontId="18" fillId="3" borderId="144" applyAlignment="1" pivotButton="0" quotePrefix="0" xfId="0">
      <alignment horizontal="center"/>
    </xf>
    <xf numFmtId="10" fontId="4" fillId="2" borderId="129" pivotButton="0" quotePrefix="0" xfId="0"/>
    <xf numFmtId="4" fontId="4" fillId="2" borderId="129" pivotButton="0" quotePrefix="0" xfId="0"/>
    <xf numFmtId="10" fontId="18" fillId="3" borderId="129" applyAlignment="1" pivotButton="0" quotePrefix="0" xfId="0">
      <alignment horizontal="center"/>
    </xf>
    <xf numFmtId="0" fontId="7" fillId="2" borderId="136" applyAlignment="1" pivotButton="0" quotePrefix="0" xfId="0">
      <alignment horizontal="center"/>
    </xf>
    <xf numFmtId="0" fontId="4" fillId="2" borderId="129" applyAlignment="1" pivotButton="0" quotePrefix="0" xfId="0">
      <alignment horizontal="center"/>
    </xf>
    <xf numFmtId="0" fontId="7" fillId="2" borderId="1" applyAlignment="1" pivotButton="0" quotePrefix="0" xfId="0">
      <alignment horizontal="right"/>
    </xf>
    <xf numFmtId="13" fontId="18" fillId="2" borderId="1" applyAlignment="1" pivotButton="0" quotePrefix="0" xfId="0">
      <alignment horizontal="center"/>
    </xf>
    <xf numFmtId="0" fontId="4" fillId="2" borderId="136" pivotButton="0" quotePrefix="0" xfId="0"/>
    <xf numFmtId="0" fontId="4" fillId="3" borderId="129" applyAlignment="1" pivotButton="0" quotePrefix="0" xfId="0">
      <alignment horizontal="center"/>
    </xf>
    <xf numFmtId="0" fontId="7" fillId="2" borderId="150" applyAlignment="1" pivotButton="0" quotePrefix="0" xfId="0">
      <alignment horizontal="right"/>
    </xf>
    <xf numFmtId="0" fontId="7" fillId="2" borderId="128" applyAlignment="1" pivotButton="0" quotePrefix="0" xfId="0">
      <alignment horizontal="right"/>
    </xf>
    <xf numFmtId="0" fontId="7" fillId="2" borderId="146" applyAlignment="1" pivotButton="0" quotePrefix="0" xfId="0">
      <alignment horizontal="right"/>
    </xf>
    <xf numFmtId="0" fontId="7" fillId="2" borderId="127" applyAlignment="1" pivotButton="0" quotePrefix="0" xfId="0">
      <alignment horizontal="right"/>
    </xf>
    <xf numFmtId="4" fontId="18" fillId="2" borderId="9" applyAlignment="1" pivotButton="0" quotePrefix="0" xfId="0">
      <alignment horizontal="center"/>
    </xf>
    <xf numFmtId="0" fontId="21" fillId="2" borderId="8" applyAlignment="1" pivotButton="0" quotePrefix="0" xfId="0">
      <alignment horizontal="right"/>
    </xf>
    <xf numFmtId="0" fontId="34" fillId="2" borderId="9" pivotButton="0" quotePrefix="0" xfId="0"/>
    <xf numFmtId="164" fontId="18" fillId="2" borderId="152" applyAlignment="1" pivotButton="0" quotePrefix="0" xfId="0">
      <alignment horizontal="center"/>
    </xf>
    <xf numFmtId="0" fontId="7" fillId="2" borderId="12" applyAlignment="1" pivotButton="0" quotePrefix="0" xfId="0">
      <alignment horizontal="right"/>
    </xf>
    <xf numFmtId="0" fontId="7" fillId="2" borderId="154" applyAlignment="1" pivotButton="0" quotePrefix="0" xfId="0">
      <alignment horizontal="right"/>
    </xf>
    <xf numFmtId="0" fontId="34" fillId="2" borderId="155" applyAlignment="1" pivotButton="0" quotePrefix="0" xfId="0">
      <alignment horizontal="center"/>
    </xf>
  </cellXfs>
  <cellStyles count="1">
    <cellStyle name="Normal" xfId="0" builtinId="0"/>
  </cellStyles>
  <dxfs count="5">
    <dxf>
      <font/>
      <fill>
        <patternFill patternType="solid">
          <fgColor rgb="FF8DB3E2"/>
          <bgColor rgb="FF8DB3E2"/>
        </patternFill>
      </fill>
      <border/>
    </dxf>
    <dxf>
      <font/>
      <fill>
        <patternFill patternType="solid">
          <fgColor rgb="FFF2F2F2"/>
          <bgColor rgb="FFF2F2F2"/>
        </patternFill>
      </fill>
      <border/>
    </dxf>
    <dxf>
      <font/>
      <fill>
        <patternFill patternType="solid">
          <fgColor rgb="FFC6D9F0"/>
          <bgColor rgb="FFC6D9F0"/>
        </patternFill>
      </fill>
      <border/>
    </dxf>
    <dxf>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fill>
        <patternFill patternType="solid">
          <fgColor rgb="FFD8D8D8"/>
          <bgColor rgb="FFD8D8D8"/>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anking-empresas.eleconomista.es/empresas-LEON.html" TargetMode="External" Id="rId1" /></Relationships>
</file>

<file path=xl/worksheets/sheet1.xml><?xml version="1.0" encoding="utf-8"?>
<worksheet xmlns="http://schemas.openxmlformats.org/spreadsheetml/2006/main">
  <sheetPr>
    <tabColor rgb="FF00B0F0"/>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1.43" customWidth="1" style="588" min="1" max="1"/>
    <col width="10.71" customWidth="1" style="588" min="2" max="8"/>
    <col width="11.43" customWidth="1" style="588" min="9" max="10"/>
    <col width="11.29" customWidth="1" style="588" min="11" max="11"/>
    <col width="10.71" customWidth="1" style="588" min="12" max="26"/>
  </cols>
  <sheetData>
    <row r="1" ht="12.75" customHeight="1" s="588">
      <c r="A1" s="1" t="n"/>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row>
    <row r="3" ht="12.75" customHeight="1" s="588">
      <c r="A3" s="1" t="n"/>
      <c r="B3" s="1" t="n"/>
      <c r="C3" s="1" t="n"/>
      <c r="D3" s="1" t="n"/>
      <c r="E3" s="1" t="n"/>
      <c r="F3" s="1" t="n"/>
      <c r="G3" s="1" t="n"/>
      <c r="H3" s="1" t="n"/>
      <c r="I3" s="1" t="n"/>
      <c r="J3" s="1" t="n"/>
      <c r="K3" s="1" t="n"/>
    </row>
    <row r="4" ht="12.75" customHeight="1" s="588">
      <c r="A4" s="1" t="n"/>
      <c r="B4" s="1" t="n"/>
      <c r="C4" s="1" t="n"/>
      <c r="D4" s="1" t="n"/>
      <c r="E4" s="1" t="n"/>
      <c r="F4" s="1" t="n"/>
      <c r="G4" s="1" t="n"/>
      <c r="H4" s="1" t="n"/>
      <c r="I4" s="1" t="n"/>
      <c r="J4" s="1" t="n"/>
      <c r="K4" s="1" t="n"/>
    </row>
    <row r="5" ht="12.75" customHeight="1" s="588">
      <c r="A5" s="1" t="n"/>
      <c r="B5" s="1" t="n"/>
      <c r="C5" s="1" t="n"/>
      <c r="D5" s="1" t="n"/>
      <c r="E5" s="1" t="n"/>
      <c r="F5" s="1" t="n"/>
      <c r="G5" s="1" t="n"/>
      <c r="H5" s="1" t="n"/>
      <c r="I5" s="1" t="n"/>
      <c r="J5" s="1" t="n"/>
      <c r="K5" s="1" t="n"/>
    </row>
    <row r="6" ht="12.75" customHeight="1" s="588">
      <c r="A6" s="1" t="n"/>
      <c r="B6" s="1" t="n"/>
      <c r="C6" s="1" t="n"/>
      <c r="D6" s="1" t="n"/>
      <c r="E6" s="1" t="n"/>
      <c r="F6" s="1" t="n"/>
      <c r="G6" s="1" t="n"/>
      <c r="H6" s="1" t="n"/>
      <c r="I6" s="1" t="n"/>
      <c r="J6" s="1" t="n"/>
      <c r="K6" s="1" t="n"/>
    </row>
    <row r="7" ht="12.75" customHeight="1" s="588">
      <c r="A7" s="1" t="n"/>
      <c r="B7" s="1" t="n"/>
      <c r="C7" s="1" t="n"/>
      <c r="D7" s="1" t="n"/>
      <c r="E7" s="1" t="n"/>
      <c r="F7" s="1" t="n"/>
      <c r="G7" s="1" t="n"/>
      <c r="H7" s="1" t="n"/>
      <c r="I7" s="1" t="n"/>
      <c r="J7" s="1" t="n"/>
      <c r="K7" s="1" t="n"/>
    </row>
    <row r="8" ht="12.75" customHeight="1" s="588">
      <c r="A8" s="1" t="n"/>
      <c r="B8" s="1" t="n"/>
      <c r="C8" s="1" t="n"/>
      <c r="D8" s="1" t="n"/>
      <c r="E8" s="1" t="n"/>
      <c r="F8" s="1" t="n"/>
      <c r="G8" s="1" t="n"/>
      <c r="H8" s="1" t="n"/>
      <c r="I8" s="1" t="n"/>
      <c r="J8" s="1" t="n"/>
      <c r="K8" s="1" t="n"/>
    </row>
    <row r="9" ht="12.75" customHeight="1" s="588">
      <c r="A9" s="1" t="n"/>
      <c r="B9" s="1" t="n"/>
      <c r="C9" s="1" t="n"/>
      <c r="D9" s="1" t="n"/>
      <c r="E9" s="1" t="n"/>
      <c r="F9" s="1" t="n"/>
      <c r="G9" s="1" t="n"/>
      <c r="H9" s="1" t="n"/>
      <c r="I9" s="1" t="n"/>
      <c r="J9" s="1" t="n"/>
      <c r="K9" s="1" t="n"/>
    </row>
    <row r="10" ht="12.75" customHeight="1" s="588">
      <c r="A10" s="1" t="n"/>
      <c r="B10" s="1" t="n"/>
      <c r="C10" s="1" t="n"/>
      <c r="D10" s="1" t="n"/>
      <c r="E10" s="1" t="n"/>
      <c r="F10" s="1" t="n"/>
      <c r="G10" s="1" t="n"/>
      <c r="H10" s="1" t="n"/>
      <c r="I10" s="1" t="n"/>
      <c r="J10" s="1" t="n"/>
      <c r="K10" s="1" t="n"/>
    </row>
    <row r="11" ht="12.75" customHeight="1" s="588">
      <c r="A11" s="1" t="n"/>
      <c r="B11" s="1" t="n"/>
      <c r="C11" s="1" t="n"/>
      <c r="D11" s="1" t="n"/>
      <c r="E11" s="1" t="n"/>
      <c r="F11" s="1" t="n"/>
      <c r="G11" s="1" t="n"/>
      <c r="H11" s="1" t="n"/>
      <c r="I11" s="1" t="n"/>
      <c r="J11" s="1" t="n"/>
      <c r="K11" s="1" t="n"/>
    </row>
    <row r="12" ht="12.75" customHeight="1" s="588">
      <c r="A12" s="1" t="n"/>
      <c r="B12" s="1" t="n"/>
      <c r="C12" s="1" t="n"/>
      <c r="D12" s="1" t="n"/>
      <c r="E12" s="1" t="n"/>
      <c r="F12" s="1" t="n"/>
      <c r="G12" s="1" t="n"/>
      <c r="H12" s="1" t="n"/>
      <c r="I12" s="1" t="n"/>
      <c r="J12" s="1" t="n"/>
      <c r="K12" s="1" t="n"/>
    </row>
    <row r="13" ht="12.75" customHeight="1" s="588">
      <c r="A13" s="1" t="n"/>
      <c r="B13" s="1" t="n"/>
      <c r="C13" s="1" t="n"/>
      <c r="D13" s="1" t="n"/>
      <c r="E13" s="1" t="n"/>
      <c r="F13" s="1" t="n"/>
      <c r="G13" s="1" t="n"/>
      <c r="H13" s="1" t="n"/>
      <c r="I13" s="1" t="n"/>
      <c r="J13" s="1" t="n"/>
      <c r="K13" s="1" t="n"/>
    </row>
    <row r="14" ht="12.75" customHeight="1" s="588">
      <c r="A14" s="1" t="n"/>
      <c r="B14" s="1" t="n"/>
      <c r="C14" s="1" t="n"/>
      <c r="D14" s="1" t="n"/>
      <c r="E14" s="1" t="n"/>
      <c r="F14" s="1" t="n"/>
      <c r="G14" s="1" t="n"/>
      <c r="H14" s="1" t="n"/>
      <c r="I14" s="1" t="n"/>
      <c r="J14" s="1" t="n"/>
      <c r="K14" s="1" t="n"/>
    </row>
    <row r="15" ht="12.75" customHeight="1" s="588">
      <c r="A15" s="1" t="n"/>
      <c r="B15" s="1" t="n"/>
      <c r="C15" s="1" t="n"/>
      <c r="D15" s="1" t="n"/>
      <c r="E15" s="1" t="n"/>
      <c r="F15" s="2" t="inlineStr">
        <is>
          <t>PLAN DE NEGOCIO DE</t>
        </is>
      </c>
      <c r="G15" s="1" t="n"/>
      <c r="H15" s="1" t="n"/>
      <c r="I15" s="1" t="n"/>
      <c r="J15" s="1" t="n"/>
      <c r="K15" s="1" t="n"/>
    </row>
    <row r="16" ht="12.75" customHeight="1" s="588">
      <c r="A16" s="1" t="n"/>
      <c r="B16" s="1" t="n"/>
      <c r="C16" s="1" t="n"/>
      <c r="D16" s="1" t="n"/>
      <c r="E16" s="1" t="n"/>
      <c r="F16" s="3" t="inlineStr">
        <is>
          <t>TRIBU</t>
        </is>
      </c>
      <c r="G16" s="1" t="n"/>
      <c r="H16" s="1" t="n"/>
      <c r="I16" s="1" t="n"/>
      <c r="J16" s="1" t="n"/>
      <c r="K16" s="1" t="n"/>
    </row>
    <row r="17" ht="12.75" customHeight="1" s="588">
      <c r="A17" s="1" t="n"/>
      <c r="B17" s="1" t="n"/>
      <c r="C17" s="1" t="n"/>
      <c r="D17" s="1" t="n"/>
      <c r="E17" s="1" t="n"/>
      <c r="F17" s="1" t="n"/>
      <c r="G17" s="1" t="n"/>
      <c r="H17" s="1" t="n"/>
      <c r="I17" s="1" t="n"/>
      <c r="J17" s="1" t="n"/>
      <c r="K17" s="1" t="n"/>
    </row>
    <row r="18" ht="12.75" customHeight="1" s="588">
      <c r="A18" s="1" t="n"/>
      <c r="B18" s="1" t="n"/>
      <c r="C18" s="1" t="n"/>
      <c r="D18" s="1" t="n"/>
      <c r="E18" s="1" t="n"/>
      <c r="F18" s="1" t="n"/>
      <c r="G18" s="1" t="n"/>
      <c r="H18" s="1" t="n"/>
      <c r="I18" s="1" t="n"/>
      <c r="J18" s="1" t="n"/>
      <c r="K18" s="1" t="n"/>
    </row>
    <row r="19" ht="12.75" customHeight="1" s="588">
      <c r="A19" s="1" t="n"/>
      <c r="B19" s="1" t="n"/>
      <c r="C19" s="1" t="n"/>
      <c r="D19" s="1" t="n"/>
      <c r="E19" s="1" t="n"/>
      <c r="F19" s="1" t="n"/>
      <c r="G19" s="1" t="n"/>
      <c r="H19" s="1" t="n"/>
      <c r="I19" s="1" t="n"/>
      <c r="J19" s="1" t="n"/>
      <c r="K19" s="1" t="n"/>
    </row>
    <row r="20" ht="12.75" customHeight="1" s="588">
      <c r="A20" s="1" t="n"/>
      <c r="B20" s="1" t="n"/>
      <c r="C20" s="1" t="n"/>
      <c r="D20" s="1" t="n"/>
      <c r="E20" s="1" t="n"/>
      <c r="F20" s="1" t="n"/>
      <c r="G20" s="1" t="n"/>
      <c r="H20" s="1" t="n"/>
      <c r="I20" s="1" t="n"/>
      <c r="J20" s="1" t="n"/>
      <c r="K20" s="1" t="n"/>
    </row>
    <row r="21" ht="12.75" customHeight="1" s="588">
      <c r="A21" s="1" t="n"/>
      <c r="B21" s="1" t="n"/>
      <c r="C21" s="1" t="n"/>
      <c r="D21" s="1" t="n"/>
      <c r="E21" s="1" t="n"/>
      <c r="F21" s="1" t="n"/>
      <c r="G21" s="1" t="n"/>
      <c r="H21" s="1" t="n"/>
      <c r="I21" s="1" t="n"/>
      <c r="J21" s="1" t="n"/>
      <c r="K21" s="1" t="n"/>
    </row>
    <row r="22" ht="12.75" customHeight="1" s="588">
      <c r="A22" s="1" t="n"/>
      <c r="B22" s="1" t="n"/>
      <c r="C22" s="1" t="n"/>
      <c r="D22" s="1" t="n"/>
      <c r="E22" s="1" t="n"/>
      <c r="F22" s="1" t="n"/>
      <c r="G22" s="1" t="n"/>
      <c r="H22" s="1" t="n"/>
      <c r="I22" s="1" t="n"/>
      <c r="J22" s="1" t="n"/>
      <c r="K22" s="1" t="n"/>
    </row>
    <row r="23" ht="12.75" customHeight="1" s="588">
      <c r="A23" s="1" t="n"/>
      <c r="B23" s="1" t="n"/>
      <c r="C23" s="1" t="n"/>
      <c r="D23" s="1" t="n"/>
      <c r="E23" s="1" t="n"/>
      <c r="F23" s="1" t="n"/>
      <c r="G23" s="1" t="n"/>
      <c r="H23" s="1" t="n"/>
      <c r="I23" s="1" t="n"/>
      <c r="J23" s="1" t="n"/>
      <c r="K23" s="1" t="n"/>
    </row>
    <row r="24" ht="12.75" customHeight="1" s="588">
      <c r="A24" s="1" t="n"/>
      <c r="B24" s="1" t="n"/>
      <c r="C24" s="1" t="n"/>
      <c r="D24" s="1" t="n"/>
      <c r="E24" s="1" t="n"/>
      <c r="F24" s="1" t="n"/>
      <c r="G24" s="1" t="n"/>
      <c r="H24" s="1" t="n"/>
      <c r="I24" s="1" t="n"/>
      <c r="J24" s="1" t="n"/>
      <c r="K24" s="1" t="n"/>
    </row>
    <row r="25" ht="12.75" customHeight="1" s="588">
      <c r="A25" s="1" t="n"/>
      <c r="B25" s="1" t="n"/>
      <c r="C25" s="1" t="n"/>
      <c r="D25" s="1" t="n"/>
      <c r="E25" s="1" t="n"/>
      <c r="F25" s="1" t="n"/>
      <c r="G25" s="1" t="n"/>
      <c r="H25" s="1" t="n"/>
      <c r="I25" s="1" t="n"/>
      <c r="J25" s="1" t="n"/>
      <c r="K25" s="1" t="n"/>
    </row>
    <row r="26" ht="12.75" customHeight="1" s="588">
      <c r="A26" s="1" t="n"/>
      <c r="B26" s="1" t="n"/>
      <c r="C26" s="1" t="n"/>
      <c r="D26" s="1" t="n"/>
      <c r="E26" s="1" t="n"/>
      <c r="F26" s="1" t="n"/>
      <c r="G26" s="1" t="n"/>
      <c r="H26" s="283" t="inlineStr">
        <is>
          <t>PONFERRADA,</t>
        </is>
      </c>
      <c r="I26" s="5" t="n">
        <v>46234</v>
      </c>
      <c r="J26" s="6" t="n"/>
      <c r="K26" s="7" t="n"/>
    </row>
    <row r="27" ht="12.75" customHeight="1" s="588">
      <c r="A27" s="1" t="n"/>
      <c r="B27" s="1" t="n"/>
      <c r="C27" s="1" t="n"/>
      <c r="D27" s="1" t="n"/>
      <c r="E27" s="1" t="n"/>
      <c r="F27" s="1" t="n"/>
      <c r="G27" s="1" t="n"/>
      <c r="H27" s="1" t="n"/>
      <c r="I27" s="1" t="n"/>
      <c r="J27" s="1" t="n"/>
      <c r="K27" s="1" t="n"/>
    </row>
    <row r="28" ht="12.75" customHeight="1" s="588">
      <c r="A28" s="1" t="n"/>
      <c r="B28" s="1" t="n"/>
      <c r="C28" s="1" t="n"/>
      <c r="D28" s="1" t="n"/>
      <c r="E28" s="1" t="n"/>
      <c r="F28" s="1" t="n"/>
      <c r="G28" s="1" t="n"/>
      <c r="H28" s="1" t="n"/>
      <c r="I28" s="1" t="n"/>
      <c r="J28" s="1" t="n"/>
      <c r="K28" s="1" t="n"/>
    </row>
    <row r="29" ht="12.75" customHeight="1" s="588">
      <c r="A29" s="1" t="n"/>
      <c r="B29" s="1" t="n"/>
      <c r="C29" s="1" t="n"/>
      <c r="D29" s="1" t="n"/>
      <c r="E29" s="1" t="n"/>
      <c r="F29" s="1" t="n"/>
      <c r="G29" s="1" t="n"/>
      <c r="H29" s="1" t="n"/>
      <c r="I29" s="1" t="n"/>
      <c r="J29" s="1" t="n"/>
      <c r="K29" s="1" t="n"/>
    </row>
    <row r="30" ht="12.75" customHeight="1" s="588">
      <c r="A30" s="1" t="n"/>
      <c r="B30" s="1" t="n"/>
      <c r="C30" s="1" t="n"/>
      <c r="D30" s="1" t="n"/>
      <c r="E30" s="1" t="n"/>
      <c r="F30" s="1" t="n"/>
      <c r="G30" s="1" t="n"/>
      <c r="H30" s="1" t="n"/>
      <c r="I30" s="1" t="n"/>
      <c r="J30" s="1" t="n"/>
      <c r="K30" s="1" t="n"/>
    </row>
    <row r="31" ht="12.75" customHeight="1" s="588">
      <c r="A31" s="1" t="n"/>
      <c r="B31" s="1" t="n"/>
      <c r="C31" s="1" t="n"/>
      <c r="D31" s="1" t="n"/>
      <c r="E31" s="1" t="n"/>
      <c r="F31" s="1" t="n"/>
      <c r="G31" s="1" t="n"/>
      <c r="H31" s="1" t="n"/>
      <c r="I31" s="1" t="n"/>
      <c r="J31" s="1" t="n"/>
      <c r="K31" s="1" t="n"/>
    </row>
    <row r="32" ht="12.75" customHeight="1" s="588">
      <c r="A32" s="1" t="n"/>
      <c r="B32" s="1" t="n"/>
      <c r="C32" s="1" t="n"/>
      <c r="D32" s="1" t="n"/>
      <c r="E32" s="1" t="n"/>
      <c r="F32" s="1" t="n"/>
      <c r="G32" s="1" t="n"/>
      <c r="H32" s="1" t="n"/>
      <c r="I32" s="1" t="n"/>
      <c r="J32" s="1" t="n"/>
      <c r="K32" s="1" t="n"/>
    </row>
    <row r="33" ht="12.75" customHeight="1" s="588">
      <c r="A33" s="1" t="n"/>
      <c r="B33" s="1" t="n"/>
      <c r="C33" s="1" t="n"/>
      <c r="D33" s="1" t="n"/>
      <c r="E33" s="1" t="n"/>
      <c r="F33" s="1" t="n"/>
      <c r="G33" s="1" t="n"/>
      <c r="H33" s="1" t="n"/>
      <c r="I33" s="1" t="n"/>
      <c r="J33" s="1" t="n"/>
      <c r="K33" s="1" t="n"/>
    </row>
    <row r="34" ht="12.75" customHeight="1" s="588">
      <c r="A34" s="1" t="n"/>
      <c r="B34" s="1" t="n"/>
      <c r="C34" s="1" t="n"/>
      <c r="D34" s="1" t="n"/>
      <c r="E34" s="1" t="n"/>
      <c r="F34" s="1" t="n"/>
      <c r="G34" s="1" t="n"/>
      <c r="H34" s="1" t="n"/>
      <c r="I34" s="1" t="n"/>
      <c r="J34" s="1" t="n"/>
      <c r="K34" s="1" t="n"/>
    </row>
    <row r="35" ht="6.75" customHeight="1" s="588">
      <c r="A35" s="1" t="n"/>
      <c r="B35" s="1" t="n"/>
      <c r="C35" s="1" t="n"/>
      <c r="D35" s="1" t="n"/>
      <c r="E35" s="1" t="n"/>
      <c r="F35" s="1" t="n"/>
      <c r="G35" s="1" t="n"/>
      <c r="H35" s="1" t="n"/>
      <c r="I35" s="1" t="n"/>
      <c r="J35" s="1" t="n"/>
      <c r="K35" s="1" t="n"/>
    </row>
    <row r="36" ht="26.25" customHeight="1" s="588">
      <c r="A36" s="8" t="inlineStr">
        <is>
          <t>SUMARIO</t>
        </is>
      </c>
      <c r="B36" s="1" t="n"/>
      <c r="C36" s="1" t="n"/>
      <c r="D36" s="1" t="n"/>
      <c r="E36" s="1" t="n"/>
      <c r="F36" s="1" t="n"/>
      <c r="G36" s="1" t="n"/>
      <c r="H36" s="1" t="n"/>
      <c r="I36" s="1" t="n"/>
      <c r="J36" s="1" t="n"/>
      <c r="K36" s="1" t="n"/>
    </row>
    <row r="37" ht="18" customHeight="1" s="588">
      <c r="A37" s="8" t="n"/>
      <c r="B37" s="1" t="n"/>
      <c r="C37" s="1" t="n"/>
      <c r="D37" s="9" t="inlineStr">
        <is>
          <t>RESUMEN EJECUTIVO</t>
        </is>
      </c>
      <c r="E37" s="10" t="n"/>
      <c r="F37" s="11" t="n"/>
      <c r="G37" s="1" t="n"/>
      <c r="H37" s="12" t="inlineStr">
        <is>
          <t>(D): Participante con soporte del Director</t>
        </is>
      </c>
      <c r="I37" s="13" t="n"/>
      <c r="J37" s="14" t="n"/>
      <c r="K37" s="15" t="n"/>
      <c r="L37" s="16" t="n"/>
      <c r="M37" s="16" t="n"/>
      <c r="N37" s="16" t="n"/>
      <c r="O37" s="16" t="n"/>
      <c r="P37" s="16" t="n"/>
      <c r="Q37" s="16" t="n"/>
      <c r="R37" s="16" t="n"/>
      <c r="S37" s="16" t="n"/>
      <c r="T37" s="16" t="n"/>
      <c r="U37" s="16" t="n"/>
      <c r="V37" s="16" t="n"/>
      <c r="W37" s="16" t="n"/>
      <c r="X37" s="16" t="n"/>
      <c r="Y37" s="16" t="n"/>
      <c r="Z37" s="16" t="n"/>
    </row>
    <row r="38" ht="15" customHeight="1" s="588">
      <c r="A38" s="8" t="n"/>
      <c r="B38" s="1" t="n"/>
      <c r="C38" s="1" t="n"/>
      <c r="D38" s="17" t="inlineStr">
        <is>
          <t>Descripción de la Idea de Negocio (D)</t>
        </is>
      </c>
      <c r="E38" s="18" t="n"/>
      <c r="F38" s="19" t="n"/>
      <c r="G38" s="1" t="n"/>
      <c r="H38" s="20" t="inlineStr">
        <is>
          <t>(I): Participante con soporte del Consultor de Innovación</t>
        </is>
      </c>
      <c r="I38" s="21" t="n"/>
      <c r="J38" s="22" t="n"/>
      <c r="K38" s="23" t="n"/>
    </row>
    <row r="39" ht="12.75" customHeight="1" s="588">
      <c r="A39" s="1" t="n"/>
      <c r="B39" s="1" t="n"/>
      <c r="C39" s="1" t="n"/>
      <c r="D39" s="17" t="inlineStr">
        <is>
          <t>Experiencia de los Promotores (D)</t>
        </is>
      </c>
      <c r="E39" s="18" t="n"/>
      <c r="F39" s="19" t="n"/>
      <c r="G39" s="1" t="n"/>
      <c r="H39" s="24" t="inlineStr">
        <is>
          <t>(M): Participante con soporte del Consultor de Marketing</t>
        </is>
      </c>
      <c r="I39" s="21" t="n"/>
      <c r="J39" s="22" t="n"/>
      <c r="K39" s="23" t="n"/>
    </row>
    <row r="40" ht="12.75" customHeight="1" s="588">
      <c r="A40" s="1" t="n"/>
      <c r="B40" s="1" t="n"/>
      <c r="C40" s="1" t="n"/>
      <c r="D40" s="25" t="inlineStr">
        <is>
          <t>Síntesis INCYNCO</t>
        </is>
      </c>
      <c r="E40" s="26" t="n"/>
      <c r="F40" s="27" t="n"/>
      <c r="G40" s="1" t="n"/>
      <c r="H40" s="28" t="inlineStr">
        <is>
          <t>(EM): Consultor Experto en la Materia</t>
        </is>
      </c>
      <c r="I40" s="29" t="n"/>
      <c r="J40" s="30" t="n"/>
      <c r="K40" s="31" t="n"/>
    </row>
    <row r="41" ht="12.75" customHeight="1" s="588">
      <c r="A41" s="32" t="n"/>
      <c r="B41" s="32" t="n"/>
      <c r="C41" s="1" t="n"/>
      <c r="D41" s="33" t="n"/>
      <c r="E41" s="18" t="n"/>
      <c r="F41" s="1" t="n"/>
      <c r="G41" s="1" t="n"/>
      <c r="H41" s="1" t="n"/>
      <c r="I41" s="1" t="n"/>
      <c r="J41" s="1" t="n"/>
      <c r="K41" s="1" t="n"/>
    </row>
    <row r="42" ht="12.75" customHeight="1" s="588">
      <c r="A42" s="589" t="inlineStr">
        <is>
          <t>Introducción de datos en celdas grises</t>
        </is>
      </c>
      <c r="B42" s="590" t="n"/>
      <c r="C42" s="591" t="n"/>
      <c r="D42" s="33" t="n"/>
      <c r="E42" s="37" t="n"/>
      <c r="F42" s="9" t="inlineStr">
        <is>
          <t>¿POR QUÉ?</t>
        </is>
      </c>
      <c r="G42" s="38" t="n"/>
      <c r="H42" s="38" t="n"/>
      <c r="I42" s="11" t="n"/>
      <c r="J42" s="1" t="n"/>
      <c r="K42" s="1" t="n"/>
    </row>
    <row r="43" ht="12.75" customHeight="1" s="588">
      <c r="A43" s="1" t="n"/>
      <c r="B43" s="1" t="n"/>
      <c r="C43" s="1" t="n"/>
      <c r="D43" s="282" t="n"/>
      <c r="E43" s="33" t="n"/>
      <c r="F43" s="17" t="inlineStr">
        <is>
          <t>Observaciones del Mercado que suscitan la Idea (D)</t>
        </is>
      </c>
      <c r="G43" s="1" t="n"/>
      <c r="H43" s="1" t="n"/>
      <c r="I43" s="19" t="n"/>
      <c r="J43" s="1" t="n"/>
      <c r="K43" s="1" t="n"/>
    </row>
    <row r="44" ht="12.75" customHeight="1" s="588">
      <c r="A44" s="1" t="n"/>
      <c r="B44" s="1" t="n"/>
      <c r="C44" s="1" t="n"/>
      <c r="D44" s="33" t="n"/>
      <c r="E44" s="33" t="n"/>
      <c r="F44" s="17" t="inlineStr">
        <is>
          <t>Macroentorno: análisis PEST (D)</t>
        </is>
      </c>
      <c r="G44" s="1" t="n"/>
      <c r="H44" s="1" t="n"/>
      <c r="I44" s="19" t="n"/>
      <c r="J44" s="1" t="n"/>
      <c r="K44" s="1" t="n"/>
    </row>
    <row r="45" ht="12.75" customHeight="1" s="588">
      <c r="A45" s="1" t="n"/>
      <c r="B45" s="1" t="n"/>
      <c r="C45" s="1" t="n"/>
      <c r="D45" s="33" t="n"/>
      <c r="E45" s="33" t="n"/>
      <c r="F45" s="17" t="inlineStr">
        <is>
          <t>Microentorno: Análisis de PORTER (D)</t>
        </is>
      </c>
      <c r="G45" s="1" t="n"/>
      <c r="H45" s="1" t="n"/>
      <c r="I45" s="19" t="n"/>
      <c r="J45" s="1" t="n"/>
      <c r="K45" s="1" t="n"/>
    </row>
    <row r="46" ht="12.75" customHeight="1" s="588">
      <c r="A46" s="40" t="n"/>
      <c r="B46" s="41" t="n"/>
      <c r="C46" s="42" t="n"/>
      <c r="D46" s="43" t="inlineStr">
        <is>
          <t>¿PARA QUIÉN?</t>
        </is>
      </c>
      <c r="E46" s="33" t="n"/>
      <c r="F46" s="17" t="inlineStr">
        <is>
          <t>Competencia (D)</t>
        </is>
      </c>
      <c r="G46" s="1" t="n"/>
      <c r="H46" s="44" t="n"/>
      <c r="I46" s="45" t="n"/>
      <c r="J46" s="44" t="n"/>
      <c r="K46" s="1" t="n"/>
    </row>
    <row r="47" ht="12.75" customHeight="1" s="588">
      <c r="A47" s="46" t="n"/>
      <c r="B47" s="1" t="n"/>
      <c r="C47" s="47" t="n"/>
      <c r="D47" s="47" t="inlineStr">
        <is>
          <t>(D) Hábitos de consumo y posibles tendencias</t>
        </is>
      </c>
      <c r="E47" s="33" t="n"/>
      <c r="F47" s="17" t="inlineStr">
        <is>
          <t>Análisis DAFO y estrategias CAME (D)</t>
        </is>
      </c>
      <c r="G47" s="1" t="n"/>
      <c r="H47" s="33" t="n"/>
      <c r="I47" s="48" t="n"/>
      <c r="J47" s="33" t="n"/>
      <c r="K47" s="1" t="n"/>
    </row>
    <row r="48" ht="12.75" customHeight="1" s="588">
      <c r="A48" s="46" t="n"/>
      <c r="B48" s="44" t="n"/>
      <c r="C48" s="47" t="n"/>
      <c r="D48" s="47" t="inlineStr">
        <is>
          <t>(D) Segmentos de Clientes: cuantificación</t>
        </is>
      </c>
      <c r="E48" s="18" t="n"/>
      <c r="F48" s="49" t="inlineStr">
        <is>
          <t>Resumen POR QUÉ (D)</t>
        </is>
      </c>
      <c r="G48" s="50" t="n"/>
      <c r="H48" s="51" t="n"/>
      <c r="I48" s="52" t="n"/>
      <c r="J48" s="44" t="n"/>
      <c r="K48" s="1" t="n"/>
    </row>
    <row r="49" ht="12.75" customHeight="1" s="588">
      <c r="A49" s="46" t="n"/>
      <c r="B49" s="1" t="n"/>
      <c r="C49" s="47" t="n"/>
      <c r="D49" s="47" t="inlineStr">
        <is>
          <t>(D) Mapas de Empatía</t>
        </is>
      </c>
      <c r="E49" s="18" t="n"/>
      <c r="F49" s="18" t="n"/>
      <c r="G49" s="1" t="n"/>
      <c r="H49" s="44" t="n"/>
      <c r="I49" s="44" t="n"/>
      <c r="J49" s="44" t="n"/>
      <c r="K49" s="1" t="n"/>
    </row>
    <row r="50" ht="12.75" customHeight="1" s="588">
      <c r="A50" s="46" t="n"/>
      <c r="B50" s="1" t="n"/>
      <c r="C50" s="47" t="n"/>
      <c r="D50" s="47" t="inlineStr">
        <is>
          <t>(D) Segmentos alternativos de Clientes</t>
        </is>
      </c>
      <c r="E50" s="1" t="n"/>
      <c r="F50" s="1" t="n"/>
      <c r="G50" s="53" t="n"/>
      <c r="H50" s="9" t="inlineStr">
        <is>
          <t>¿EL QUÉ?</t>
        </is>
      </c>
      <c r="I50" s="41" t="n"/>
      <c r="J50" s="41" t="n"/>
      <c r="K50" s="11" t="n"/>
    </row>
    <row r="51" ht="12.75" customHeight="1" s="588">
      <c r="A51" s="46" t="n"/>
      <c r="B51" s="1" t="n"/>
      <c r="C51" s="47" t="n"/>
      <c r="D51" s="47" t="inlineStr">
        <is>
          <t>(D) Cálculo del Mercado potencial</t>
        </is>
      </c>
      <c r="E51" s="1" t="n"/>
      <c r="F51" s="1" t="n"/>
      <c r="G51" s="33" t="n"/>
      <c r="H51" s="17" t="inlineStr">
        <is>
          <t>Productos/Servicios que materializan la Idea (M)</t>
        </is>
      </c>
      <c r="I51" s="1" t="n"/>
      <c r="J51" s="1" t="n"/>
      <c r="K51" s="19" t="n"/>
    </row>
    <row r="52" ht="12.75" customHeight="1" s="588">
      <c r="A52" s="54" t="n"/>
      <c r="B52" s="51" t="n"/>
      <c r="C52" s="55" t="n"/>
      <c r="D52" s="55" t="inlineStr">
        <is>
          <t>(D) Resumen PARA QUIÉN</t>
        </is>
      </c>
      <c r="E52" s="1" t="n"/>
      <c r="F52" s="1" t="n"/>
      <c r="G52" s="33" t="n"/>
      <c r="H52" s="17" t="inlineStr">
        <is>
          <t>Matriz Productos-Segmentos de Clientes (M)</t>
        </is>
      </c>
      <c r="I52" s="1" t="n"/>
      <c r="J52" s="1" t="n"/>
      <c r="K52" s="19" t="n"/>
    </row>
    <row r="53" ht="12.75" customHeight="1" s="588">
      <c r="A53" s="1" t="n"/>
      <c r="B53" s="44" t="n"/>
      <c r="C53" s="56" t="n"/>
      <c r="D53" s="44" t="n"/>
      <c r="E53" s="1" t="n"/>
      <c r="F53" s="1" t="n"/>
      <c r="G53" s="33" t="n"/>
      <c r="H53" s="17" t="inlineStr">
        <is>
          <t>Alianzas Estratégicas (M)</t>
        </is>
      </c>
      <c r="I53" s="1" t="n"/>
      <c r="J53" s="1" t="n"/>
      <c r="K53" s="19" t="n"/>
    </row>
    <row r="54" ht="12.75" customHeight="1" s="588">
      <c r="A54" s="40" t="n"/>
      <c r="B54" s="41" t="n"/>
      <c r="C54" s="41" t="n"/>
      <c r="D54" s="57" t="n"/>
      <c r="E54" s="43" t="inlineStr">
        <is>
          <t>¿CÓMO?</t>
        </is>
      </c>
      <c r="F54" s="282" t="n"/>
      <c r="G54" s="33" t="n"/>
      <c r="H54" s="25" t="inlineStr">
        <is>
          <t>Resumen EL QUÉ (D)</t>
        </is>
      </c>
      <c r="I54" s="58" t="n"/>
      <c r="J54" s="58" t="n"/>
      <c r="K54" s="27" t="n"/>
    </row>
    <row r="55" ht="18" customHeight="1" s="588">
      <c r="A55" s="46" t="n"/>
      <c r="B55" s="1" t="n"/>
      <c r="C55" s="1" t="n"/>
      <c r="D55" s="56" t="n"/>
      <c r="E55" s="47" t="inlineStr">
        <is>
          <t>(I) Canvas</t>
        </is>
      </c>
      <c r="F55" s="282" t="n"/>
      <c r="G55" s="1" t="n"/>
      <c r="H55" s="282" t="n"/>
      <c r="I55" s="282" t="n"/>
      <c r="J55" s="282" t="n"/>
      <c r="K55" s="1" t="n"/>
    </row>
    <row r="56" ht="12.75" customHeight="1" s="588">
      <c r="A56" s="46" t="n"/>
      <c r="B56" s="1" t="n"/>
      <c r="C56" s="1" t="n"/>
      <c r="D56" s="56" t="n"/>
      <c r="E56" s="47" t="inlineStr">
        <is>
          <t>(EM) Plan de Marketing y Comercialización</t>
        </is>
      </c>
      <c r="F56" s="37" t="n"/>
      <c r="G56" s="9" t="inlineStr">
        <is>
          <t>¿CUÁNTO Y CUÁNDO?</t>
        </is>
      </c>
      <c r="H56" s="38" t="n"/>
      <c r="I56" s="38" t="n"/>
      <c r="J56" s="11" t="n"/>
      <c r="K56" s="1" t="n"/>
    </row>
    <row r="57" ht="12.75" customHeight="1" s="588">
      <c r="A57" s="46" t="n"/>
      <c r="B57" s="1" t="n"/>
      <c r="C57" s="1" t="n"/>
      <c r="D57" s="59" t="n"/>
      <c r="E57" s="60" t="inlineStr">
        <is>
          <t>(EM) Plan de Operaciones</t>
        </is>
      </c>
      <c r="F57" s="33" t="n"/>
      <c r="G57" s="17" t="inlineStr">
        <is>
          <t>Plan Financiero (EM)</t>
        </is>
      </c>
      <c r="H57" s="1" t="n"/>
      <c r="I57" s="1" t="n"/>
      <c r="J57" s="19" t="n"/>
      <c r="K57" s="1" t="n"/>
    </row>
    <row r="58" ht="12.75" customHeight="1" s="588">
      <c r="A58" s="46" t="n"/>
      <c r="B58" s="1" t="n"/>
      <c r="C58" s="1" t="n"/>
      <c r="D58" s="59" t="n"/>
      <c r="E58" s="60" t="inlineStr">
        <is>
          <t>(EM) Plan de Infraestructura Informática y Marketing Digital</t>
        </is>
      </c>
      <c r="F58" s="33" t="n"/>
      <c r="G58" s="17" t="inlineStr">
        <is>
          <t>Análisis de las Inversiones y su financiación (EM)</t>
        </is>
      </c>
      <c r="H58" s="1" t="n"/>
      <c r="I58" s="1" t="n"/>
      <c r="J58" s="19" t="n"/>
      <c r="K58" s="1" t="n"/>
    </row>
    <row r="59" ht="12.75" customHeight="1" s="588">
      <c r="A59" s="46" t="n"/>
      <c r="B59" s="1" t="n"/>
      <c r="C59" s="1" t="n"/>
      <c r="D59" s="56" t="n"/>
      <c r="E59" s="47" t="inlineStr">
        <is>
          <t>(EM) Plan Jurídico, Fiscal y de RR.HH</t>
        </is>
      </c>
      <c r="F59" s="33" t="n"/>
      <c r="G59" s="17" t="inlineStr">
        <is>
          <t>Ratios</t>
        </is>
      </c>
      <c r="H59" s="1" t="n"/>
      <c r="I59" s="1" t="n"/>
      <c r="J59" s="19" t="n"/>
      <c r="K59" s="1" t="n"/>
    </row>
    <row r="60" ht="12.75" customHeight="1" s="588">
      <c r="A60" s="46" t="n"/>
      <c r="B60" s="1" t="n"/>
      <c r="C60" s="1" t="n"/>
      <c r="D60" s="56" t="n"/>
      <c r="E60" s="47" t="inlineStr">
        <is>
          <t>(EM) Plan de Innovación y Sostenibilidad</t>
        </is>
      </c>
      <c r="F60" s="33" t="n"/>
      <c r="G60" s="17" t="inlineStr">
        <is>
          <t>Cronograma de implantación (D)</t>
        </is>
      </c>
      <c r="H60" s="1" t="n"/>
      <c r="I60" s="1" t="n"/>
      <c r="J60" s="19" t="n"/>
      <c r="K60" s="1" t="n"/>
    </row>
    <row r="61" ht="12.75" customHeight="1" s="588">
      <c r="A61" s="54" t="n"/>
      <c r="B61" s="50" t="n"/>
      <c r="C61" s="50" t="n"/>
      <c r="D61" s="61" t="n"/>
      <c r="E61" s="55" t="inlineStr">
        <is>
          <t>(D) Resumen CÓMO</t>
        </is>
      </c>
      <c r="F61" s="33" t="n"/>
      <c r="G61" s="25" t="inlineStr">
        <is>
          <t>Resumen CUÁNTO-CUÁNDO (D)</t>
        </is>
      </c>
      <c r="H61" s="50" t="n"/>
      <c r="I61" s="50" t="n"/>
      <c r="J61" s="27" t="n"/>
      <c r="K61" s="1" t="n"/>
    </row>
    <row r="62" ht="12.75" customHeight="1" s="588">
      <c r="I62" s="16" t="n"/>
      <c r="J62" s="16" t="n"/>
    </row>
    <row r="63" ht="12.75" customHeight="1" s="588">
      <c r="A63" s="8" t="inlineStr">
        <is>
          <t>RESUMEN EJECUTIVO</t>
        </is>
      </c>
      <c r="B63" s="1" t="n"/>
      <c r="C63" s="1" t="n"/>
      <c r="D63" s="1" t="n"/>
      <c r="E63" s="1" t="n"/>
      <c r="F63" s="1" t="n"/>
      <c r="G63" s="1" t="n"/>
      <c r="H63" s="1" t="n"/>
      <c r="I63" s="1" t="n"/>
      <c r="J63" s="1" t="n"/>
      <c r="K63" s="1" t="n"/>
    </row>
    <row r="64" ht="12.75" customHeight="1" s="588">
      <c r="A64" s="1" t="n"/>
      <c r="B64" s="1" t="n"/>
      <c r="C64" s="1" t="n"/>
      <c r="D64" s="1" t="n"/>
      <c r="E64" s="1" t="n"/>
      <c r="F64" s="1" t="n"/>
      <c r="G64" s="1" t="n"/>
      <c r="H64" s="1" t="n"/>
      <c r="I64" s="1" t="n"/>
      <c r="J64" s="1" t="n"/>
      <c r="K64" s="1" t="n"/>
    </row>
    <row r="65" ht="12.75" customHeight="1" s="588">
      <c r="A65" s="1" t="n"/>
      <c r="B65" s="1" t="n"/>
      <c r="C65" s="1" t="n"/>
      <c r="D65" s="1" t="n"/>
      <c r="E65" s="1" t="n"/>
      <c r="F65" s="1" t="n"/>
      <c r="G65" s="1" t="n"/>
      <c r="H65" s="1" t="n"/>
      <c r="I65" s="1" t="n"/>
      <c r="J65" s="1" t="n"/>
      <c r="K65" s="1" t="n"/>
      <c r="L65" s="16" t="n"/>
      <c r="M65" s="16" t="n"/>
      <c r="N65" s="16" t="n"/>
      <c r="O65" s="16" t="n"/>
      <c r="P65" s="16" t="n"/>
      <c r="Q65" s="16" t="n"/>
      <c r="R65" s="16" t="n"/>
      <c r="S65" s="16" t="n"/>
      <c r="T65" s="16" t="n"/>
      <c r="U65" s="16" t="n"/>
      <c r="V65" s="16" t="n"/>
      <c r="W65" s="16" t="n"/>
      <c r="X65" s="16" t="n"/>
      <c r="Y65" s="16" t="n"/>
      <c r="Z65" s="16" t="n"/>
    </row>
    <row r="66" ht="12.75" customHeight="1" s="588">
      <c r="A66" s="1" t="n"/>
      <c r="B66" s="1" t="n"/>
      <c r="C66" s="1" t="n"/>
      <c r="D66" s="1" t="n"/>
      <c r="E66" s="1" t="n"/>
      <c r="F66" s="62" t="inlineStr">
        <is>
          <t>Descripción de la Idea de Negocio</t>
        </is>
      </c>
      <c r="G66" s="1" t="n"/>
      <c r="H66" s="1" t="n"/>
      <c r="I66" s="1" t="n"/>
      <c r="J66" s="1" t="n"/>
      <c r="K66" s="1" t="n"/>
    </row>
    <row r="67" ht="12.75" customHeight="1" s="588">
      <c r="A67" s="1" t="n"/>
      <c r="B67" s="1" t="n"/>
      <c r="C67" s="1" t="n"/>
      <c r="D67" s="1" t="n"/>
      <c r="E67" s="1" t="n"/>
      <c r="F67" s="1" t="n"/>
      <c r="G67" s="1" t="n"/>
      <c r="H67" s="1" t="n"/>
      <c r="I67" s="1" t="n"/>
      <c r="J67" s="1" t="n"/>
      <c r="K67" s="1" t="n"/>
    </row>
    <row r="68" ht="12.75" customHeight="1" s="588">
      <c r="A68" s="592" t="inlineStr">
        <is>
          <t>Estudio de diseño web y presencia digital para pymes, autónomos y bodegas de Ponferrada y El Bierzo, constituido como Sociedad Limitada por dos socios promotores con papeles complementarios: producción y dirección técnica (Socia 1) y dirección comercial (Socio 2). No vende "páginas web": vende presencia digital que capta clientes y se mantiene viva. Cinco líneas: diseño y desarrollo de sitios web, identidad visual y diseño gráfico, mantenimiento gestionado por cuota mensual y SEO local (Google Business Profile). Las dos líneas recurrentes suponen el 27,5% de la facturación del Año 1 y son crecientes: es lo que diferencia el negocio de un freelance por proyectos y lo que sostiene la caja los meses sin cierre de venta.</t>
        </is>
      </c>
      <c r="B68" s="593" t="n"/>
      <c r="C68" s="593" t="n"/>
      <c r="D68" s="593" t="n"/>
      <c r="E68" s="593" t="n"/>
      <c r="F68" s="593" t="n"/>
      <c r="G68" s="593" t="n"/>
      <c r="H68" s="593" t="n"/>
      <c r="I68" s="593" t="n"/>
      <c r="J68" s="593" t="n"/>
      <c r="K68" s="594" t="n"/>
    </row>
    <row r="69" ht="12.75" customHeight="1" s="588">
      <c r="A69" s="595" t="n"/>
      <c r="K69" s="596" t="n"/>
    </row>
    <row r="70" ht="12.75" customHeight="1" s="588">
      <c r="A70" s="595" t="n"/>
      <c r="K70" s="596" t="n"/>
    </row>
    <row r="71" ht="12.75" customHeight="1" s="588">
      <c r="A71" s="595" t="n"/>
      <c r="K71" s="596" t="n"/>
    </row>
    <row r="72" ht="12.75" customHeight="1" s="588">
      <c r="A72" s="595" t="n"/>
      <c r="K72" s="596" t="n"/>
    </row>
    <row r="73" ht="12.75" customHeight="1" s="588">
      <c r="A73" s="595" t="n"/>
      <c r="K73" s="596" t="n"/>
    </row>
    <row r="74" ht="12.75" customHeight="1" s="588">
      <c r="A74" s="595" t="n"/>
      <c r="K74" s="596" t="n"/>
    </row>
    <row r="75" ht="12.75" customHeight="1" s="588">
      <c r="A75" s="595" t="n"/>
      <c r="K75" s="596" t="n"/>
    </row>
    <row r="76" ht="12.75" customHeight="1" s="588">
      <c r="A76" s="595" t="n"/>
      <c r="K76" s="596" t="n"/>
    </row>
    <row r="77" ht="12.75" customHeight="1" s="588">
      <c r="A77" s="595" t="n"/>
      <c r="K77" s="596" t="n"/>
    </row>
    <row r="78" ht="12.75" customHeight="1" s="588">
      <c r="A78" s="595" t="n"/>
      <c r="K78" s="596" t="n"/>
    </row>
    <row r="79" ht="12.75" customHeight="1" s="588">
      <c r="A79" s="595" t="n"/>
      <c r="K79" s="596" t="n"/>
    </row>
    <row r="80" ht="12.75" customHeight="1" s="588">
      <c r="A80" s="595" t="n"/>
      <c r="K80" s="596" t="n"/>
    </row>
    <row r="81" ht="12.75" customHeight="1" s="588">
      <c r="A81" s="595" t="n"/>
      <c r="K81" s="596" t="n"/>
    </row>
    <row r="82" ht="12.75" customHeight="1" s="588">
      <c r="A82" s="595" t="n"/>
      <c r="K82" s="596" t="n"/>
    </row>
    <row r="83" ht="12.75" customHeight="1" s="588">
      <c r="A83" s="595" t="n"/>
      <c r="K83" s="596" t="n"/>
      <c r="L83" s="16" t="n"/>
      <c r="M83" s="16" t="n"/>
      <c r="N83" s="16" t="n"/>
      <c r="O83" s="16" t="n"/>
      <c r="P83" s="16" t="n"/>
      <c r="Q83" s="16" t="n"/>
      <c r="R83" s="16" t="n"/>
      <c r="S83" s="16" t="n"/>
      <c r="T83" s="16" t="n"/>
      <c r="U83" s="16" t="n"/>
      <c r="V83" s="16" t="n"/>
      <c r="W83" s="16" t="n"/>
      <c r="X83" s="16" t="n"/>
      <c r="Y83" s="16" t="n"/>
      <c r="Z83" s="16" t="n"/>
    </row>
    <row r="84" ht="12.75" customHeight="1" s="588">
      <c r="A84" s="595" t="n"/>
      <c r="K84" s="596" t="n"/>
      <c r="L84" s="16" t="n"/>
      <c r="M84" s="16" t="n"/>
      <c r="N84" s="16" t="n"/>
      <c r="O84" s="16" t="n"/>
      <c r="P84" s="16" t="n"/>
      <c r="Q84" s="16" t="n"/>
      <c r="R84" s="16" t="n"/>
      <c r="S84" s="16" t="n"/>
      <c r="T84" s="16" t="n"/>
      <c r="U84" s="16" t="n"/>
      <c r="V84" s="16" t="n"/>
      <c r="W84" s="16" t="n"/>
      <c r="X84" s="16" t="n"/>
      <c r="Y84" s="16" t="n"/>
      <c r="Z84" s="16" t="n"/>
    </row>
    <row r="85" ht="12.75" customHeight="1" s="588">
      <c r="A85" s="595" t="n"/>
      <c r="K85" s="596" t="n"/>
    </row>
    <row r="86" ht="12.75" customHeight="1" s="588">
      <c r="A86" s="595" t="n"/>
      <c r="K86" s="596" t="n"/>
    </row>
    <row r="87" ht="12.75" customHeight="1" s="588">
      <c r="A87" s="595" t="n"/>
      <c r="K87" s="596" t="n"/>
    </row>
    <row r="88" ht="12.75" customHeight="1" s="588">
      <c r="A88" s="595" t="n"/>
      <c r="K88" s="596" t="n"/>
    </row>
    <row r="89" ht="12.75" customHeight="1" s="588">
      <c r="A89" s="595" t="n"/>
      <c r="K89" s="596" t="n"/>
    </row>
    <row r="90" ht="12.75" customHeight="1" s="588">
      <c r="A90" s="595" t="n"/>
      <c r="K90" s="596" t="n"/>
    </row>
    <row r="91" ht="12.75" customHeight="1" s="588">
      <c r="A91" s="595" t="n"/>
      <c r="K91" s="596" t="n"/>
    </row>
    <row r="92" ht="12.75" customHeight="1" s="588">
      <c r="A92" s="595" t="n"/>
      <c r="K92" s="596" t="n"/>
    </row>
    <row r="93" ht="12.75" customHeight="1" s="588">
      <c r="A93" s="595" t="n"/>
      <c r="K93" s="596" t="n"/>
    </row>
    <row r="94" ht="12.75" customHeight="1" s="588">
      <c r="A94" s="595" t="n"/>
      <c r="K94" s="596" t="n"/>
    </row>
    <row r="95" ht="12.75" customHeight="1" s="588">
      <c r="A95" s="595" t="n"/>
      <c r="K95" s="596" t="n"/>
    </row>
    <row r="96" ht="12.75" customHeight="1" s="588">
      <c r="A96" s="595" t="n"/>
      <c r="K96" s="596" t="n"/>
    </row>
    <row r="97" ht="12.75" customHeight="1" s="588">
      <c r="A97" s="597" t="n"/>
      <c r="B97" s="598" t="n"/>
      <c r="C97" s="598" t="n"/>
      <c r="D97" s="598" t="n"/>
      <c r="E97" s="598" t="n"/>
      <c r="F97" s="598" t="n"/>
      <c r="G97" s="598" t="n"/>
      <c r="H97" s="598" t="n"/>
      <c r="I97" s="598" t="n"/>
      <c r="J97" s="598" t="n"/>
      <c r="K97" s="599" t="n"/>
    </row>
    <row r="98" ht="12.75" customHeight="1" s="588">
      <c r="A98" s="1" t="n"/>
      <c r="B98" s="1" t="n"/>
      <c r="C98" s="1" t="n"/>
      <c r="D98" s="1" t="n"/>
      <c r="E98" s="1" t="n"/>
      <c r="F98" s="1" t="n"/>
      <c r="G98" s="1" t="n"/>
      <c r="H98" s="1" t="n"/>
      <c r="I98" s="1" t="n"/>
      <c r="J98" s="1" t="n"/>
      <c r="K98" s="1" t="n"/>
    </row>
    <row r="99" ht="12.75" customHeight="1" s="588">
      <c r="A99" s="8" t="inlineStr">
        <is>
          <t>RESUMEN EJECUTIVO</t>
        </is>
      </c>
      <c r="B99" s="1" t="n"/>
      <c r="C99" s="1" t="n"/>
      <c r="D99" s="1" t="n"/>
      <c r="E99" s="1" t="n"/>
      <c r="F99" s="1" t="n"/>
      <c r="G99" s="1" t="n"/>
      <c r="H99" s="1" t="n"/>
      <c r="I99" s="1" t="n"/>
      <c r="J99" s="1" t="n"/>
      <c r="K99" s="1" t="n"/>
    </row>
    <row r="100" ht="12.75" customHeight="1" s="588">
      <c r="A100" s="1" t="n"/>
      <c r="B100" s="1" t="n"/>
      <c r="C100" s="1" t="n"/>
      <c r="D100" s="1" t="n"/>
      <c r="E100" s="1" t="n"/>
      <c r="F100" s="1" t="n"/>
      <c r="G100" s="1" t="n"/>
      <c r="H100" s="1" t="n"/>
      <c r="I100" s="1" t="n"/>
      <c r="J100" s="1" t="n"/>
      <c r="K100" s="1" t="n"/>
    </row>
    <row r="101" ht="12.75" customHeight="1" s="588">
      <c r="A101" s="1" t="n"/>
      <c r="B101" s="1" t="n"/>
      <c r="C101" s="1" t="n"/>
      <c r="D101" s="1" t="n"/>
      <c r="E101" s="1" t="n"/>
      <c r="F101" s="1" t="n"/>
      <c r="G101" s="1" t="n"/>
      <c r="H101" s="1" t="n"/>
      <c r="I101" s="1" t="n"/>
      <c r="J101" s="1" t="n"/>
      <c r="K101" s="1" t="n"/>
      <c r="L101" s="16" t="n"/>
      <c r="M101" s="16" t="n"/>
      <c r="N101" s="16" t="n"/>
      <c r="O101" s="16" t="n"/>
      <c r="P101" s="16" t="n"/>
      <c r="Q101" s="16" t="n"/>
      <c r="R101" s="16" t="n"/>
      <c r="S101" s="16" t="n"/>
      <c r="T101" s="16" t="n"/>
      <c r="U101" s="16" t="n"/>
      <c r="V101" s="16" t="n"/>
      <c r="W101" s="16" t="n"/>
      <c r="X101" s="16" t="n"/>
      <c r="Y101" s="16" t="n"/>
      <c r="Z101" s="16" t="n"/>
    </row>
    <row r="102" ht="12.75" customHeight="1" s="588">
      <c r="A102" s="1" t="n"/>
      <c r="B102" s="1" t="n"/>
      <c r="C102" s="1" t="n"/>
      <c r="D102" s="1" t="n"/>
      <c r="E102" s="71" t="inlineStr">
        <is>
          <t>Socios Promotores</t>
        </is>
      </c>
      <c r="F102" s="1" t="n"/>
      <c r="G102" s="1" t="n"/>
      <c r="H102" s="1" t="n"/>
      <c r="I102" s="1" t="n"/>
      <c r="J102" s="1" t="n"/>
      <c r="K102" s="1" t="n"/>
    </row>
    <row r="103" ht="12.75" customHeight="1" s="588">
      <c r="A103" s="1" t="n"/>
      <c r="B103" s="1" t="n"/>
      <c r="C103" s="1" t="n"/>
      <c r="D103" s="1" t="n"/>
      <c r="E103" s="1" t="n"/>
      <c r="F103" s="1" t="n"/>
      <c r="G103" s="1" t="n"/>
      <c r="H103" s="1" t="n"/>
      <c r="I103" s="1" t="n"/>
      <c r="J103" s="1" t="n"/>
      <c r="K103" s="1" t="n"/>
    </row>
    <row r="104" ht="12.75" customHeight="1" s="588">
      <c r="A104" s="72" t="inlineStr">
        <is>
          <t>Socio 1</t>
        </is>
      </c>
      <c r="B104" s="600" t="inlineStr">
        <is>
          <t>María Gabriela Pérez Sánchez</t>
        </is>
      </c>
      <c r="C104" s="590" t="n"/>
      <c r="D104" s="590" t="n"/>
      <c r="E104" s="591" t="n"/>
      <c r="F104" s="72" t="inlineStr">
        <is>
          <t>Socio 2</t>
        </is>
      </c>
      <c r="G104" s="601" t="inlineStr">
        <is>
          <t>Wilmer José Pérez Yanéz</t>
        </is>
      </c>
      <c r="H104" s="590" t="n"/>
      <c r="I104" s="590" t="n"/>
      <c r="J104" s="591" t="n"/>
      <c r="K104" s="75" t="n"/>
    </row>
    <row r="105" ht="13.5" customHeight="1" s="588">
      <c r="A105" s="72" t="inlineStr">
        <is>
          <t>Experiencia</t>
        </is>
      </c>
      <c r="B105" s="602" t="inlineStr">
        <is>
          <t>Disenadora web con experiencia en diseño y producción de sitios web para pymes en BeeDigital (proveedor nacional de presencia digital para pequeños negocios). Conocimiento directo del ciclo completo: captación, briefing, producción, entrega y mantenimiento. Residente en Ponferrada, con red de contactos en el tejido empresarial del Bierzo.</t>
        </is>
      </c>
      <c r="C105" s="593" t="n"/>
      <c r="D105" s="593" t="n"/>
      <c r="E105" s="594" t="n"/>
      <c r="F105" s="72" t="inlineStr">
        <is>
          <t>Experiencia</t>
        </is>
      </c>
      <c r="G105" s="602" t="inlineStr">
        <is>
          <t>Profesional con amplia experiencia en gestión comercial, liderazgo de equipos y competencias para crear, organizar y poner en marcha planes comerciales. Asume la DIRECCIÓN COMERCIAL de la sociedad con dedicación retribuida desde el Año 1 (12.000 EUR líquidos anuales): prospección, visita a cliente, cierre y desarrollo de la red de prescriptores (gestorías, imprentas y agencias de la comarca).
Su incorporación como socio resuelve la debilidad estructural del plan original, donde una sola persona tenía que producir y vender a la vez y la venta siempre perdía. Es también la razón de que la forma jurídica sea Sociedad Limitada y no empresaria individual: esta última no admite socios.</t>
        </is>
      </c>
      <c r="H105" s="593" t="n"/>
      <c r="I105" s="593" t="n"/>
      <c r="J105" s="594" t="n"/>
      <c r="K105" s="1" t="n"/>
      <c r="L105" s="77" t="n"/>
    </row>
    <row r="106" ht="12.75" customHeight="1" s="588">
      <c r="A106" s="1" t="n"/>
      <c r="B106" s="595" t="n"/>
      <c r="E106" s="596" t="n"/>
      <c r="F106" s="1" t="n"/>
      <c r="G106" s="595" t="n"/>
      <c r="J106" s="596" t="n"/>
      <c r="K106" s="1" t="n"/>
      <c r="L106" s="77" t="n"/>
    </row>
    <row r="107" ht="12.75" customHeight="1" s="588">
      <c r="A107" s="1" t="n"/>
      <c r="B107" s="595" t="n"/>
      <c r="E107" s="596" t="n"/>
      <c r="F107" s="1" t="n"/>
      <c r="G107" s="595" t="n"/>
      <c r="J107" s="596" t="n"/>
      <c r="K107" s="1" t="n"/>
      <c r="L107" s="77" t="n"/>
    </row>
    <row r="108" ht="12.75" customHeight="1" s="588">
      <c r="A108" s="1" t="n"/>
      <c r="B108" s="595" t="n"/>
      <c r="E108" s="596" t="n"/>
      <c r="F108" s="1" t="n"/>
      <c r="G108" s="595" t="n"/>
      <c r="J108" s="596" t="n"/>
      <c r="K108" s="1" t="n"/>
      <c r="L108" s="77" t="n"/>
    </row>
    <row r="109" ht="12.75" customHeight="1" s="588">
      <c r="A109" s="1" t="n"/>
      <c r="B109" s="595" t="n"/>
      <c r="E109" s="596" t="n"/>
      <c r="F109" s="1" t="n"/>
      <c r="G109" s="595" t="n"/>
      <c r="J109" s="596" t="n"/>
      <c r="K109" s="1" t="n"/>
      <c r="L109" s="77" t="n"/>
    </row>
    <row r="110" ht="12.75" customHeight="1" s="588">
      <c r="A110" s="1" t="n"/>
      <c r="B110" s="595" t="n"/>
      <c r="E110" s="596" t="n"/>
      <c r="F110" s="1" t="n"/>
      <c r="G110" s="595" t="n"/>
      <c r="J110" s="596" t="n"/>
      <c r="K110" s="1" t="n"/>
      <c r="L110" s="77" t="n"/>
    </row>
    <row r="111" ht="12.75" customHeight="1" s="588">
      <c r="A111" s="1" t="n"/>
      <c r="B111" s="595" t="n"/>
      <c r="E111" s="596" t="n"/>
      <c r="F111" s="1" t="n"/>
      <c r="G111" s="595" t="n"/>
      <c r="J111" s="596" t="n"/>
      <c r="K111" s="1" t="n"/>
      <c r="L111" s="77" t="n"/>
    </row>
    <row r="112" ht="12.75" customHeight="1" s="588">
      <c r="A112" s="1" t="n"/>
      <c r="B112" s="595" t="n"/>
      <c r="E112" s="596" t="n"/>
      <c r="F112" s="1" t="n"/>
      <c r="G112" s="595" t="n"/>
      <c r="J112" s="596" t="n"/>
      <c r="K112" s="1" t="n"/>
      <c r="L112" s="77" t="n"/>
    </row>
    <row r="113" ht="12.75" customHeight="1" s="588">
      <c r="A113" s="1" t="n"/>
      <c r="B113" s="595" t="n"/>
      <c r="E113" s="596" t="n"/>
      <c r="F113" s="1" t="n"/>
      <c r="G113" s="595" t="n"/>
      <c r="J113" s="596" t="n"/>
      <c r="K113" s="1" t="n"/>
      <c r="L113" s="77" t="n"/>
    </row>
    <row r="114" ht="12.75" customHeight="1" s="588">
      <c r="A114" s="1" t="n"/>
      <c r="B114" s="597" t="n"/>
      <c r="C114" s="598" t="n"/>
      <c r="D114" s="598" t="n"/>
      <c r="E114" s="599" t="n"/>
      <c r="F114" s="1" t="n"/>
      <c r="G114" s="597" t="n"/>
      <c r="H114" s="598" t="n"/>
      <c r="I114" s="598" t="n"/>
      <c r="J114" s="599" t="n"/>
      <c r="K114" s="1" t="n"/>
      <c r="L114" s="77" t="n"/>
    </row>
    <row r="115" ht="12.75" customHeight="1" s="588">
      <c r="A115" s="1" t="n"/>
      <c r="B115" s="1" t="n"/>
      <c r="C115" s="1" t="n"/>
      <c r="D115" s="1" t="n"/>
      <c r="E115" s="1" t="n"/>
      <c r="F115" s="1" t="n"/>
      <c r="G115" s="1" t="n"/>
      <c r="H115" s="1" t="n"/>
      <c r="I115" s="1" t="n"/>
      <c r="J115" s="1" t="n"/>
      <c r="K115" s="1" t="n"/>
    </row>
    <row r="116" ht="12.75" customHeight="1" s="588">
      <c r="A116" s="72" t="inlineStr">
        <is>
          <t>Socio 3</t>
        </is>
      </c>
      <c r="B116" s="603" t="n"/>
      <c r="C116" s="590" t="n"/>
      <c r="D116" s="590" t="n"/>
      <c r="E116" s="591" t="n"/>
      <c r="F116" s="72" t="inlineStr">
        <is>
          <t>Socio 4</t>
        </is>
      </c>
      <c r="G116" s="604" t="n"/>
      <c r="H116" s="590" t="n"/>
      <c r="I116" s="590" t="n"/>
      <c r="J116" s="591" t="n"/>
      <c r="K116" s="75" t="n"/>
    </row>
    <row r="117" ht="12.75" customHeight="1" s="588">
      <c r="A117" s="72" t="inlineStr">
        <is>
          <t>Experiencia</t>
        </is>
      </c>
      <c r="B117" s="605" t="n"/>
      <c r="C117" s="593" t="n"/>
      <c r="D117" s="593" t="n"/>
      <c r="E117" s="594" t="n"/>
      <c r="F117" s="72" t="inlineStr">
        <is>
          <t>Experiencia</t>
        </is>
      </c>
      <c r="G117" s="606" t="n"/>
      <c r="H117" s="593" t="n"/>
      <c r="I117" s="593" t="n"/>
      <c r="J117" s="594" t="n"/>
      <c r="K117" s="1" t="n"/>
    </row>
    <row r="118" ht="12.75" customHeight="1" s="588">
      <c r="A118" s="1" t="n"/>
      <c r="B118" s="595" t="n"/>
      <c r="E118" s="596" t="n"/>
      <c r="F118" s="1" t="n"/>
      <c r="G118" s="595" t="n"/>
      <c r="J118" s="596" t="n"/>
      <c r="K118" s="1" t="n"/>
    </row>
    <row r="119" ht="12.75" customHeight="1" s="588">
      <c r="A119" s="1" t="n"/>
      <c r="B119" s="595" t="n"/>
      <c r="E119" s="596" t="n"/>
      <c r="F119" s="1" t="n"/>
      <c r="G119" s="595" t="n"/>
      <c r="J119" s="596" t="n"/>
      <c r="K119" s="1" t="n"/>
    </row>
    <row r="120" ht="12.75" customHeight="1" s="588">
      <c r="A120" s="1" t="n"/>
      <c r="B120" s="595" t="n"/>
      <c r="E120" s="596" t="n"/>
      <c r="F120" s="1" t="n"/>
      <c r="G120" s="595" t="n"/>
      <c r="J120" s="596" t="n"/>
      <c r="K120" s="1" t="n"/>
    </row>
    <row r="121" ht="12.75" customHeight="1" s="588">
      <c r="A121" s="1" t="n"/>
      <c r="B121" s="595" t="n"/>
      <c r="E121" s="596" t="n"/>
      <c r="F121" s="1" t="n"/>
      <c r="G121" s="595" t="n"/>
      <c r="J121" s="596" t="n"/>
      <c r="K121" s="1" t="n"/>
    </row>
    <row r="122" ht="12.75" customHeight="1" s="588">
      <c r="A122" s="1" t="n"/>
      <c r="B122" s="595" t="n"/>
      <c r="E122" s="596" t="n"/>
      <c r="F122" s="1" t="n"/>
      <c r="G122" s="595" t="n"/>
      <c r="J122" s="596" t="n"/>
      <c r="K122" s="1" t="n"/>
    </row>
    <row r="123" ht="12.75" customHeight="1" s="588">
      <c r="A123" s="1" t="n"/>
      <c r="B123" s="595" t="n"/>
      <c r="E123" s="596" t="n"/>
      <c r="F123" s="1" t="n"/>
      <c r="G123" s="595" t="n"/>
      <c r="J123" s="596" t="n"/>
      <c r="K123" s="1" t="n"/>
    </row>
    <row r="124" ht="12.75" customHeight="1" s="588">
      <c r="A124" s="1" t="n"/>
      <c r="B124" s="595" t="n"/>
      <c r="E124" s="596" t="n"/>
      <c r="F124" s="1" t="n"/>
      <c r="G124" s="595" t="n"/>
      <c r="J124" s="596" t="n"/>
      <c r="K124" s="1" t="n"/>
    </row>
    <row r="125" ht="12.75" customHeight="1" s="588">
      <c r="A125" s="1" t="n"/>
      <c r="B125" s="595" t="n"/>
      <c r="E125" s="596" t="n"/>
      <c r="F125" s="1" t="n"/>
      <c r="G125" s="595" t="n"/>
      <c r="J125" s="596" t="n"/>
      <c r="K125" s="1" t="n"/>
    </row>
    <row r="126" ht="12.75" customHeight="1" s="588">
      <c r="A126" s="1" t="n"/>
      <c r="B126" s="597" t="n"/>
      <c r="C126" s="598" t="n"/>
      <c r="D126" s="598" t="n"/>
      <c r="E126" s="599" t="n"/>
      <c r="F126" s="1" t="n"/>
      <c r="G126" s="597" t="n"/>
      <c r="H126" s="598" t="n"/>
      <c r="I126" s="598" t="n"/>
      <c r="J126" s="599" t="n"/>
      <c r="K126" s="1" t="n"/>
    </row>
    <row r="127" ht="12.75" customHeight="1" s="588">
      <c r="A127" s="1" t="n"/>
      <c r="B127" s="82" t="n"/>
      <c r="C127" s="82" t="n"/>
      <c r="D127" s="82" t="n"/>
      <c r="E127" s="82" t="n"/>
      <c r="F127" s="1" t="n"/>
      <c r="G127" s="82" t="n"/>
      <c r="H127" s="82" t="n"/>
      <c r="I127" s="82" t="n"/>
      <c r="J127" s="82" t="n"/>
      <c r="K127" s="82" t="n"/>
    </row>
    <row r="128" ht="12.75" customHeight="1" s="588">
      <c r="A128" s="1" t="n"/>
      <c r="B128" s="1" t="n"/>
      <c r="C128" s="1" t="n"/>
      <c r="D128" s="1" t="n"/>
      <c r="E128" s="1" t="n"/>
      <c r="F128" s="83" t="inlineStr">
        <is>
          <t>Datos de contacto</t>
        </is>
      </c>
      <c r="G128" s="1" t="n"/>
      <c r="H128" s="1" t="n"/>
      <c r="I128" s="1" t="n"/>
      <c r="J128" s="1" t="n"/>
      <c r="K128" s="1" t="n"/>
    </row>
    <row r="129" ht="12.75" customHeight="1" s="588">
      <c r="A129" s="72" t="n"/>
      <c r="B129" s="1" t="n"/>
      <c r="C129" s="1" t="n"/>
      <c r="D129" s="1" t="n"/>
      <c r="E129" s="1" t="n"/>
      <c r="F129" s="83" t="n"/>
      <c r="G129" s="1" t="n"/>
      <c r="H129" s="1" t="n"/>
      <c r="I129" s="1" t="n"/>
      <c r="J129" s="1" t="n"/>
      <c r="K129" s="1" t="n"/>
    </row>
    <row r="130" ht="12.75" customHeight="1" s="588">
      <c r="A130" s="72" t="inlineStr">
        <is>
          <t>Teléfonos</t>
        </is>
      </c>
      <c r="B130" s="607" t="n">
        <v>643958978</v>
      </c>
      <c r="C130" s="590" t="n"/>
      <c r="D130" s="590" t="n"/>
      <c r="E130" s="591" t="n"/>
      <c r="F130" s="72" t="inlineStr">
        <is>
          <t>e-mails</t>
        </is>
      </c>
      <c r="G130" s="608" t="inlineStr">
        <is>
          <t>mariaperezart@gmail.com</t>
        </is>
      </c>
      <c r="H130" s="590" t="n"/>
      <c r="I130" s="590" t="n"/>
      <c r="J130" s="591" t="n"/>
      <c r="K130" s="75" t="n"/>
    </row>
    <row r="131" ht="12.75" customHeight="1" s="588">
      <c r="A131" s="1" t="n"/>
      <c r="B131" s="1" t="n"/>
      <c r="C131" s="1" t="n"/>
      <c r="D131" s="1" t="n"/>
      <c r="E131" s="1" t="n"/>
      <c r="F131" s="1" t="n"/>
      <c r="G131" s="1" t="n"/>
      <c r="H131" s="1" t="n"/>
      <c r="I131" s="1" t="n"/>
      <c r="J131" s="1" t="n"/>
      <c r="K131" s="1" t="n"/>
    </row>
    <row r="132" ht="12.75" customHeight="1" s="588">
      <c r="A132" s="1" t="n"/>
      <c r="B132" s="1" t="n"/>
      <c r="C132" s="1" t="n"/>
      <c r="D132" s="1" t="n"/>
      <c r="E132" s="1" t="n"/>
      <c r="F132" s="1" t="n"/>
      <c r="G132" s="1" t="n"/>
      <c r="H132" s="1" t="n"/>
      <c r="I132" s="1" t="n"/>
      <c r="J132" s="1" t="n"/>
      <c r="K132" s="1" t="n"/>
    </row>
    <row r="133" ht="12.75" customHeight="1" s="588">
      <c r="A133" s="8" t="inlineStr">
        <is>
          <t>RESUMEN EJECUTIVO</t>
        </is>
      </c>
      <c r="B133" s="1" t="n"/>
      <c r="C133" s="1" t="n"/>
      <c r="D133" s="1" t="n"/>
      <c r="E133" s="1" t="n"/>
      <c r="F133" s="1" t="n"/>
      <c r="G133" s="1" t="n"/>
      <c r="H133" s="1" t="n"/>
      <c r="I133" s="1" t="n"/>
      <c r="J133" s="1" t="n"/>
      <c r="K133" s="1" t="n"/>
    </row>
    <row r="134" ht="21" customHeight="1" s="588">
      <c r="A134" s="1" t="n"/>
      <c r="B134" s="1" t="n"/>
      <c r="C134" s="1" t="n"/>
      <c r="D134" s="1" t="n"/>
      <c r="E134" s="1" t="n"/>
      <c r="F134" s="86" t="inlineStr">
        <is>
          <t>Síntesis INCYNCO</t>
        </is>
      </c>
      <c r="G134" s="1" t="n"/>
      <c r="H134" s="1" t="n"/>
      <c r="I134" s="1" t="n"/>
      <c r="J134" s="1" t="n"/>
      <c r="K134" s="1" t="n"/>
    </row>
    <row r="135" ht="15.75" customHeight="1" s="588">
      <c r="A135" s="87" t="inlineStr">
        <is>
          <t>POR QUÉ</t>
        </is>
      </c>
      <c r="B135" s="609">
        <f>'POR QUÉ'!C222</f>
        <v/>
      </c>
      <c r="C135" s="610" t="n"/>
      <c r="D135" s="610" t="n"/>
      <c r="E135" s="610" t="n"/>
      <c r="F135" s="610" t="n"/>
      <c r="G135" s="610" t="n"/>
      <c r="H135" s="610" t="n"/>
      <c r="I135" s="610" t="n"/>
      <c r="J135" s="610" t="n"/>
      <c r="K135" s="611" t="n"/>
    </row>
    <row r="136" ht="12.75" customHeight="1" s="588">
      <c r="A136" s="1" t="n"/>
      <c r="B136" s="612" t="n"/>
      <c r="K136" s="613" t="n"/>
    </row>
    <row r="137" ht="12.75" customHeight="1" s="588">
      <c r="A137" s="1" t="n"/>
      <c r="B137" s="612" t="n"/>
      <c r="K137" s="613" t="n"/>
    </row>
    <row r="138" ht="12.75" customHeight="1" s="588">
      <c r="A138" s="1" t="n"/>
      <c r="B138" s="612" t="n"/>
      <c r="K138" s="613" t="n"/>
    </row>
    <row r="139" ht="12.75" customHeight="1" s="588">
      <c r="A139" s="1" t="n"/>
      <c r="B139" s="612" t="n"/>
      <c r="K139" s="613" t="n"/>
    </row>
    <row r="140" ht="12.75" customHeight="1" s="588">
      <c r="A140" s="1" t="n"/>
      <c r="B140" s="614" t="n"/>
      <c r="C140" s="615" t="n"/>
      <c r="D140" s="615" t="n"/>
      <c r="E140" s="615" t="n"/>
      <c r="F140" s="615" t="n"/>
      <c r="G140" s="615" t="n"/>
      <c r="H140" s="615" t="n"/>
      <c r="I140" s="615" t="n"/>
      <c r="J140" s="615" t="n"/>
      <c r="K140" s="616" t="n"/>
    </row>
    <row r="141" ht="15.75" customHeight="1" s="588">
      <c r="A141" s="87" t="inlineStr">
        <is>
          <t>PARA QUIÉN</t>
        </is>
      </c>
      <c r="B141" s="617">
        <f>'PARA QUIÉN'!C189</f>
        <v/>
      </c>
      <c r="C141" s="610" t="n"/>
      <c r="D141" s="610" t="n"/>
      <c r="E141" s="610" t="n"/>
      <c r="F141" s="610" t="n"/>
      <c r="G141" s="610" t="n"/>
      <c r="H141" s="610" t="n"/>
      <c r="I141" s="610" t="n"/>
      <c r="J141" s="610" t="n"/>
      <c r="K141" s="611" t="n"/>
    </row>
    <row r="142" ht="12.75" customHeight="1" s="588">
      <c r="A142" s="1" t="n"/>
      <c r="B142" s="612" t="n"/>
      <c r="K142" s="613" t="n"/>
    </row>
    <row r="143" ht="12.75" customHeight="1" s="588">
      <c r="A143" s="1" t="n"/>
      <c r="B143" s="612" t="n"/>
      <c r="K143" s="613" t="n"/>
    </row>
    <row r="144" ht="12.75" customHeight="1" s="588">
      <c r="A144" s="1" t="n"/>
      <c r="B144" s="612" t="n"/>
      <c r="K144" s="613" t="n"/>
    </row>
    <row r="145" ht="12.75" customHeight="1" s="588">
      <c r="A145" s="1" t="n"/>
      <c r="B145" s="612" t="n"/>
      <c r="K145" s="613" t="n"/>
    </row>
    <row r="146" ht="13.5" customHeight="1" s="588">
      <c r="A146" s="1" t="n"/>
      <c r="B146" s="614" t="n"/>
      <c r="C146" s="615" t="n"/>
      <c r="D146" s="615" t="n"/>
      <c r="E146" s="615" t="n"/>
      <c r="F146" s="615" t="n"/>
      <c r="G146" s="615" t="n"/>
      <c r="H146" s="615" t="n"/>
      <c r="I146" s="615" t="n"/>
      <c r="J146" s="615" t="n"/>
      <c r="K146" s="616" t="n"/>
    </row>
    <row r="147" ht="15.75" customHeight="1" s="588">
      <c r="A147" s="87" t="inlineStr">
        <is>
          <t>EL QUÉ</t>
        </is>
      </c>
      <c r="B147" s="609">
        <f>'EL QUÉ'!C122</f>
        <v/>
      </c>
      <c r="C147" s="610" t="n"/>
      <c r="D147" s="610" t="n"/>
      <c r="E147" s="610" t="n"/>
      <c r="F147" s="610" t="n"/>
      <c r="G147" s="610" t="n"/>
      <c r="H147" s="610" t="n"/>
      <c r="I147" s="610" t="n"/>
      <c r="J147" s="610" t="n"/>
      <c r="K147" s="611" t="n"/>
    </row>
    <row r="148" ht="12.75" customHeight="1" s="588">
      <c r="A148" s="1" t="n"/>
      <c r="B148" s="612" t="n"/>
      <c r="K148" s="613" t="n"/>
    </row>
    <row r="149" ht="12.75" customHeight="1" s="588">
      <c r="A149" s="1" t="n"/>
      <c r="B149" s="612" t="n"/>
      <c r="K149" s="613" t="n"/>
    </row>
    <row r="150" ht="12.75" customHeight="1" s="588">
      <c r="A150" s="1" t="n"/>
      <c r="B150" s="612" t="n"/>
      <c r="K150" s="613" t="n"/>
    </row>
    <row r="151" ht="12.75" customHeight="1" s="588">
      <c r="A151" s="1" t="n"/>
      <c r="B151" s="612" t="n"/>
      <c r="K151" s="613" t="n"/>
    </row>
    <row r="152" ht="12.75" customHeight="1" s="588">
      <c r="A152" s="1" t="n"/>
      <c r="B152" s="614" t="n"/>
      <c r="C152" s="615" t="n"/>
      <c r="D152" s="615" t="n"/>
      <c r="E152" s="615" t="n"/>
      <c r="F152" s="615" t="n"/>
      <c r="G152" s="615" t="n"/>
      <c r="H152" s="615" t="n"/>
      <c r="I152" s="615" t="n"/>
      <c r="J152" s="615" t="n"/>
      <c r="K152" s="616" t="n"/>
    </row>
    <row r="153" ht="15.75" customHeight="1" s="588">
      <c r="A153" s="87" t="inlineStr">
        <is>
          <t>CÓMO</t>
        </is>
      </c>
      <c r="B153" s="609">
        <f>'CÓMO'!C786</f>
        <v/>
      </c>
      <c r="C153" s="610" t="n"/>
      <c r="D153" s="610" t="n"/>
      <c r="E153" s="610" t="n"/>
      <c r="F153" s="610" t="n"/>
      <c r="G153" s="610" t="n"/>
      <c r="H153" s="610" t="n"/>
      <c r="I153" s="610" t="n"/>
      <c r="J153" s="610" t="n"/>
      <c r="K153" s="611" t="n"/>
    </row>
    <row r="154" ht="12.75" customHeight="1" s="588">
      <c r="A154" s="1" t="n"/>
      <c r="B154" s="612" t="n"/>
      <c r="K154" s="613" t="n"/>
    </row>
    <row r="155" ht="12.75" customHeight="1" s="588">
      <c r="A155" s="1" t="n"/>
      <c r="B155" s="612" t="n"/>
      <c r="K155" s="613" t="n"/>
    </row>
    <row r="156" ht="12.75" customHeight="1" s="588">
      <c r="A156" s="1" t="n"/>
      <c r="B156" s="612" t="n"/>
      <c r="K156" s="613" t="n"/>
    </row>
    <row r="157" ht="12.75" customHeight="1" s="588">
      <c r="A157" s="1" t="n"/>
      <c r="B157" s="612" t="n"/>
      <c r="K157" s="613" t="n"/>
    </row>
    <row r="158" ht="13.5" customHeight="1" s="588">
      <c r="A158" s="1" t="n"/>
      <c r="B158" s="614" t="n"/>
      <c r="C158" s="615" t="n"/>
      <c r="D158" s="615" t="n"/>
      <c r="E158" s="615" t="n"/>
      <c r="F158" s="615" t="n"/>
      <c r="G158" s="615" t="n"/>
      <c r="H158" s="615" t="n"/>
      <c r="I158" s="615" t="n"/>
      <c r="J158" s="615" t="n"/>
      <c r="K158" s="616" t="n"/>
    </row>
    <row r="159" ht="15.75" customHeight="1" s="588">
      <c r="A159" s="87" t="inlineStr">
        <is>
          <t>CUÁNDO</t>
        </is>
      </c>
      <c r="B159" s="618" t="inlineStr">
        <is>
          <t>INVERSIÓN TOTAL:</t>
        </is>
      </c>
      <c r="C159" s="619" t="n"/>
      <c r="D159" s="620">
        <f>'CUÁNTO Y CUÁNDO'!H545</f>
        <v/>
      </c>
      <c r="E159" s="610" t="n"/>
      <c r="F159" s="621" t="inlineStr">
        <is>
          <t>RECURSOS PROPIOS:</t>
        </is>
      </c>
      <c r="G159" s="619" t="n"/>
      <c r="H159" s="622">
        <f>'CUÁNTO Y CUÁNDO'!L545</f>
        <v/>
      </c>
      <c r="I159" s="610" t="n"/>
      <c r="J159" s="610" t="n"/>
      <c r="K159" s="611" t="n"/>
    </row>
    <row r="160" ht="12.75" customHeight="1" s="588">
      <c r="A160" s="104" t="inlineStr">
        <is>
          <t>Y CUÄNTO</t>
        </is>
      </c>
      <c r="B160" s="623" t="inlineStr">
        <is>
          <t>SUBVENCIONES:</t>
        </is>
      </c>
      <c r="C160" s="599" t="n"/>
      <c r="D160" s="624">
        <f>'CUÁNTO Y CUÁNDO'!H546</f>
        <v/>
      </c>
      <c r="E160" s="596" t="n"/>
      <c r="F160" s="625" t="inlineStr">
        <is>
          <t>RECURSOS AJENOS:</t>
        </is>
      </c>
      <c r="G160" s="591" t="n"/>
      <c r="H160" s="626">
        <f>'CUÁNTO Y CUÁNDO'!L546</f>
        <v/>
      </c>
      <c r="K160" s="613" t="n"/>
    </row>
    <row r="161" ht="12.75" customHeight="1" s="588">
      <c r="A161" s="1" t="n"/>
      <c r="B161" s="627" t="n"/>
      <c r="C161" s="593" t="n"/>
      <c r="D161" s="628" t="n"/>
      <c r="F161" s="625" t="inlineStr">
        <is>
          <t>ORIGEN RECURSOS AJENOS:</t>
        </is>
      </c>
      <c r="G161" s="591" t="n"/>
      <c r="H161" s="629">
        <f>'CUÁNTO Y CUÁNDO'!L547</f>
        <v/>
      </c>
      <c r="K161" s="613" t="n"/>
    </row>
    <row r="162" ht="12.75" customHeight="1" s="588">
      <c r="A162" s="1" t="n"/>
      <c r="B162" s="630" t="n"/>
      <c r="D162" s="628" t="n"/>
      <c r="F162" s="631" t="n"/>
      <c r="H162" s="632" t="n"/>
      <c r="K162" s="613" t="n"/>
    </row>
    <row r="163" ht="12.75" customHeight="1" s="588">
      <c r="A163" s="1" t="n"/>
      <c r="B163" s="633" t="inlineStr">
        <is>
          <t>VENTAS AÑO 1:</t>
        </is>
      </c>
      <c r="C163" s="591" t="n"/>
      <c r="D163" s="624">
        <f>'CUÁNTO Y CUÁNDO'!H549</f>
        <v/>
      </c>
      <c r="E163" s="596" t="n"/>
      <c r="F163" s="625" t="inlineStr">
        <is>
          <t>FECHA INICIO PREVISTA:</t>
        </is>
      </c>
      <c r="G163" s="591" t="n"/>
      <c r="H163" s="634">
        <f>'CUÁNTO Y CUÁNDO'!L549</f>
        <v/>
      </c>
      <c r="K163" s="613" t="n"/>
    </row>
    <row r="164" ht="12.75" customHeight="1" s="588">
      <c r="A164" s="1" t="n"/>
      <c r="B164" s="635" t="inlineStr">
        <is>
          <t>PUESTOS DE TRABAJO AÑO 1:</t>
        </is>
      </c>
      <c r="C164" s="615" t="n"/>
      <c r="D164" s="615" t="n"/>
      <c r="E164" s="125">
        <f>'CUÁNTO Y CUÁNDO'!I550</f>
        <v/>
      </c>
      <c r="F164" s="636" t="inlineStr">
        <is>
          <t>CONDICIONANTE:</t>
        </is>
      </c>
      <c r="G164" s="637" t="n"/>
      <c r="H164" s="638">
        <f>'CUÁNTO Y CUÁNDO'!L550</f>
        <v/>
      </c>
      <c r="I164" s="615" t="n"/>
      <c r="J164" s="615" t="n"/>
      <c r="K164" s="616" t="n"/>
    </row>
    <row r="165" ht="12.75" customHeight="1" s="588">
      <c r="I165" s="16" t="n"/>
      <c r="J165" s="16" t="n"/>
    </row>
    <row r="166" ht="12.75" customHeight="1" s="588">
      <c r="I166" s="16" t="n"/>
      <c r="J166" s="16" t="n"/>
    </row>
    <row r="167" ht="12.75" customHeight="1" s="588">
      <c r="I167" s="16" t="n"/>
      <c r="J167" s="16" t="n"/>
    </row>
    <row r="168" ht="12.75" customHeight="1" s="588">
      <c r="I168" s="16" t="n"/>
      <c r="J168" s="16" t="n"/>
    </row>
    <row r="169" ht="12.75" customHeight="1" s="588">
      <c r="I169" s="16" t="n"/>
      <c r="J169" s="16" t="n"/>
    </row>
    <row r="170" ht="12.75" customHeight="1" s="588">
      <c r="I170" s="16" t="n"/>
      <c r="J170" s="16" t="n"/>
    </row>
    <row r="171" ht="12.75" customHeight="1" s="588">
      <c r="I171" s="16" t="n"/>
      <c r="J171" s="16" t="n"/>
    </row>
    <row r="172" ht="12.75" customHeight="1" s="588">
      <c r="I172" s="16" t="n"/>
      <c r="J172" s="16" t="n"/>
    </row>
    <row r="173" ht="12.75" customHeight="1" s="588">
      <c r="I173" s="16" t="n"/>
      <c r="J173" s="16" t="n"/>
    </row>
    <row r="174" ht="12.75" customHeight="1" s="588">
      <c r="I174" s="16" t="n"/>
      <c r="J174" s="16" t="n"/>
    </row>
    <row r="175" ht="12.75" customHeight="1" s="588">
      <c r="I175" s="16" t="n"/>
      <c r="J175" s="16" t="n"/>
    </row>
    <row r="176" ht="12.75" customHeight="1" s="588">
      <c r="I176" s="16" t="n"/>
      <c r="J176" s="16" t="n"/>
    </row>
    <row r="177" ht="12.75" customHeight="1" s="588">
      <c r="I177" s="16" t="n"/>
      <c r="J177" s="16" t="n"/>
    </row>
    <row r="178" ht="12.75" customHeight="1" s="588">
      <c r="I178" s="16" t="n"/>
      <c r="J178" s="16" t="n"/>
    </row>
    <row r="179" ht="12.75" customHeight="1" s="588">
      <c r="I179" s="16" t="n"/>
      <c r="J179" s="16" t="n"/>
    </row>
    <row r="180" ht="12.75" customHeight="1" s="588">
      <c r="I180" s="16" t="n"/>
      <c r="J180" s="16" t="n"/>
    </row>
    <row r="181" ht="12.75" customHeight="1" s="588">
      <c r="I181" s="16" t="n"/>
      <c r="J181" s="16" t="n"/>
    </row>
    <row r="182" ht="12.75" customHeight="1" s="588">
      <c r="I182" s="16" t="n"/>
      <c r="J182" s="16" t="n"/>
    </row>
    <row r="183" ht="12.75" customHeight="1" s="588">
      <c r="I183" s="16" t="n"/>
      <c r="J183" s="16" t="n"/>
    </row>
    <row r="184" ht="12.75" customHeight="1" s="588">
      <c r="I184" s="16" t="n"/>
      <c r="J184" s="16" t="n"/>
    </row>
    <row r="185" ht="12.75" customHeight="1" s="588">
      <c r="I185" s="16" t="n"/>
      <c r="J185" s="16" t="n"/>
    </row>
    <row r="186" ht="12.75" customHeight="1" s="588">
      <c r="I186" s="16" t="n"/>
      <c r="J186" s="16" t="n"/>
    </row>
    <row r="187" ht="12.75" customHeight="1" s="588">
      <c r="I187" s="16" t="n"/>
      <c r="J187" s="16" t="n"/>
    </row>
    <row r="188" ht="12.75" customHeight="1" s="588">
      <c r="I188" s="16" t="n"/>
      <c r="J188" s="16" t="n"/>
    </row>
    <row r="189" ht="12.75" customHeight="1" s="588">
      <c r="I189" s="16" t="n"/>
      <c r="J189" s="16" t="n"/>
    </row>
    <row r="190" ht="12.75" customHeight="1" s="588">
      <c r="I190" s="16" t="n"/>
      <c r="J190" s="16" t="n"/>
    </row>
    <row r="191" ht="12.75" customHeight="1" s="588">
      <c r="I191" s="16" t="n"/>
      <c r="J191" s="16" t="n"/>
    </row>
    <row r="192" ht="12.75" customHeight="1" s="588">
      <c r="I192" s="16" t="n"/>
      <c r="J192" s="16" t="n"/>
    </row>
    <row r="193" ht="12.75" customHeight="1" s="588">
      <c r="I193" s="16" t="n"/>
      <c r="J193" s="16" t="n"/>
    </row>
    <row r="194" ht="12.75" customHeight="1" s="588">
      <c r="I194" s="16" t="n"/>
      <c r="J194" s="16" t="n"/>
    </row>
    <row r="195" ht="12.75" customHeight="1" s="588">
      <c r="I195" s="16" t="n"/>
      <c r="J195" s="16" t="n"/>
    </row>
    <row r="196" ht="12.75" customHeight="1" s="588">
      <c r="I196" s="16" t="n"/>
      <c r="J196" s="16" t="n"/>
    </row>
    <row r="197" ht="12.75" customHeight="1" s="588">
      <c r="I197" s="16" t="n"/>
      <c r="J197" s="16" t="n"/>
    </row>
    <row r="198" ht="12.75" customHeight="1" s="588">
      <c r="I198" s="16" t="n"/>
      <c r="J198" s="16" t="n"/>
    </row>
    <row r="199" ht="12.75" customHeight="1" s="588">
      <c r="I199" s="16" t="n"/>
      <c r="J199" s="16" t="n"/>
    </row>
    <row r="200" ht="12.75" customHeight="1" s="588">
      <c r="I200" s="16" t="n"/>
      <c r="J200" s="16" t="n"/>
    </row>
    <row r="201" ht="12.75" customHeight="1" s="588">
      <c r="I201" s="16" t="n"/>
      <c r="J201" s="16" t="n"/>
    </row>
    <row r="202" ht="12.75" customHeight="1" s="588">
      <c r="I202" s="16" t="n"/>
      <c r="J202" s="16" t="n"/>
    </row>
    <row r="203" ht="12.75" customHeight="1" s="588">
      <c r="I203" s="16" t="n"/>
      <c r="J203" s="16" t="n"/>
    </row>
    <row r="204" ht="12.75" customHeight="1" s="588">
      <c r="I204" s="16" t="n"/>
      <c r="J204" s="16" t="n"/>
    </row>
    <row r="205" ht="12.75" customHeight="1" s="588">
      <c r="I205" s="16" t="n"/>
      <c r="J205" s="16" t="n"/>
    </row>
    <row r="206" ht="12.75" customHeight="1" s="588">
      <c r="I206" s="16" t="n"/>
      <c r="J206" s="16" t="n"/>
    </row>
    <row r="207" ht="12.75" customHeight="1" s="588">
      <c r="I207" s="16" t="n"/>
      <c r="J207" s="16" t="n"/>
    </row>
    <row r="208" ht="12.75" customHeight="1" s="588">
      <c r="I208" s="16" t="n"/>
      <c r="J208" s="16" t="n"/>
    </row>
    <row r="209" ht="12.75" customHeight="1" s="588">
      <c r="I209" s="16" t="n"/>
      <c r="J209" s="16" t="n"/>
    </row>
    <row r="210" ht="12.75" customHeight="1" s="588">
      <c r="I210" s="16" t="n"/>
      <c r="J210" s="16" t="n"/>
    </row>
    <row r="211" ht="12.75" customHeight="1" s="588">
      <c r="I211" s="16" t="n"/>
      <c r="J211" s="16" t="n"/>
    </row>
    <row r="212" ht="12.75" customHeight="1" s="588">
      <c r="I212" s="16" t="n"/>
      <c r="J212" s="16" t="n"/>
    </row>
    <row r="213" ht="12.75" customHeight="1" s="588">
      <c r="I213" s="16" t="n"/>
      <c r="J213" s="16" t="n"/>
    </row>
    <row r="214" ht="12.75" customHeight="1" s="588">
      <c r="I214" s="16" t="n"/>
      <c r="J214" s="16" t="n"/>
    </row>
    <row r="215" ht="12.75" customHeight="1" s="588">
      <c r="I215" s="16" t="n"/>
      <c r="J215" s="16" t="n"/>
    </row>
    <row r="216" ht="12.75" customHeight="1" s="588">
      <c r="I216" s="16" t="n"/>
      <c r="J216" s="16" t="n"/>
    </row>
    <row r="217" ht="12.75" customHeight="1" s="588">
      <c r="I217" s="16" t="n"/>
      <c r="J217" s="16" t="n"/>
    </row>
    <row r="218" ht="12.75" customHeight="1" s="588">
      <c r="I218" s="16" t="n"/>
      <c r="J218" s="16" t="n"/>
    </row>
    <row r="219" ht="12.75" customHeight="1" s="588">
      <c r="I219" s="16" t="n"/>
      <c r="J219" s="16" t="n"/>
    </row>
    <row r="220" ht="12.75" customHeight="1" s="588">
      <c r="I220" s="16" t="n"/>
      <c r="J220" s="16" t="n"/>
    </row>
    <row r="221" ht="12.75" customHeight="1" s="588">
      <c r="I221" s="16" t="n"/>
      <c r="J221" s="16" t="n"/>
    </row>
    <row r="222" ht="12.75" customHeight="1" s="588">
      <c r="I222" s="16" t="n"/>
      <c r="J222" s="16" t="n"/>
    </row>
    <row r="223" ht="12.75" customHeight="1" s="588">
      <c r="I223" s="16" t="n"/>
      <c r="J223" s="16" t="n"/>
    </row>
    <row r="224" ht="12.75" customHeight="1" s="588">
      <c r="I224" s="16" t="n"/>
      <c r="J224" s="16" t="n"/>
    </row>
    <row r="225" ht="12.75" customHeight="1" s="588">
      <c r="I225" s="16" t="n"/>
      <c r="J225" s="16" t="n"/>
    </row>
    <row r="226" ht="12.75" customHeight="1" s="588">
      <c r="I226" s="16" t="n"/>
      <c r="J226" s="16" t="n"/>
    </row>
    <row r="227" ht="12.75" customHeight="1" s="588">
      <c r="I227" s="16" t="n"/>
      <c r="J227" s="16" t="n"/>
    </row>
    <row r="228" ht="12.75" customHeight="1" s="588">
      <c r="I228" s="16" t="n"/>
      <c r="J228" s="16" t="n"/>
    </row>
    <row r="229" ht="12.75" customHeight="1" s="588">
      <c r="I229" s="16" t="n"/>
      <c r="J229" s="16" t="n"/>
    </row>
    <row r="230" ht="12.75" customHeight="1" s="588">
      <c r="I230" s="16" t="n"/>
      <c r="J230" s="16" t="n"/>
    </row>
    <row r="231" ht="12.75" customHeight="1" s="588">
      <c r="I231" s="16" t="n"/>
      <c r="J231" s="16" t="n"/>
    </row>
    <row r="232" ht="12.75" customHeight="1" s="588">
      <c r="I232" s="16" t="n"/>
      <c r="J232" s="16" t="n"/>
    </row>
    <row r="233" ht="12.75" customHeight="1" s="588">
      <c r="I233" s="16" t="n"/>
      <c r="J233" s="16" t="n"/>
    </row>
    <row r="234" ht="12.75" customHeight="1" s="588">
      <c r="I234" s="16" t="n"/>
      <c r="J234" s="16" t="n"/>
    </row>
    <row r="235" ht="12.75" customHeight="1" s="588">
      <c r="I235" s="16" t="n"/>
      <c r="J235" s="16" t="n"/>
    </row>
    <row r="236" ht="12.75" customHeight="1" s="588">
      <c r="I236" s="16" t="n"/>
      <c r="J236" s="16" t="n"/>
    </row>
    <row r="237" ht="12.75" customHeight="1" s="588">
      <c r="I237" s="16" t="n"/>
      <c r="J237" s="16" t="n"/>
    </row>
    <row r="238" ht="12.75" customHeight="1" s="588">
      <c r="I238" s="16" t="n"/>
      <c r="J238" s="16" t="n"/>
    </row>
    <row r="239" ht="12.75" customHeight="1" s="588">
      <c r="I239" s="16" t="n"/>
      <c r="J239" s="16" t="n"/>
    </row>
    <row r="240" ht="12.75" customHeight="1" s="588">
      <c r="I240" s="16" t="n"/>
      <c r="J240" s="16" t="n"/>
    </row>
    <row r="241" ht="12.75" customHeight="1" s="588">
      <c r="I241" s="16" t="n"/>
      <c r="J241" s="16" t="n"/>
    </row>
    <row r="242" ht="12.75" customHeight="1" s="588">
      <c r="I242" s="16" t="n"/>
      <c r="J242" s="16" t="n"/>
    </row>
    <row r="243" ht="12.75" customHeight="1" s="588">
      <c r="I243" s="16" t="n"/>
      <c r="J243" s="16" t="n"/>
    </row>
    <row r="244" ht="12.75" customHeight="1" s="588">
      <c r="I244" s="16" t="n"/>
      <c r="J244" s="16" t="n"/>
    </row>
    <row r="245" ht="12.75" customHeight="1" s="588">
      <c r="I245" s="16" t="n"/>
      <c r="J245" s="16" t="n"/>
    </row>
    <row r="246" ht="12.75" customHeight="1" s="588">
      <c r="I246" s="16" t="n"/>
      <c r="J246" s="16" t="n"/>
    </row>
    <row r="247" ht="12.75" customHeight="1" s="588">
      <c r="I247" s="16" t="n"/>
      <c r="J247" s="16" t="n"/>
    </row>
    <row r="248" ht="12.75" customHeight="1" s="588">
      <c r="I248" s="16" t="n"/>
      <c r="J248" s="16" t="n"/>
    </row>
    <row r="249" ht="12.75" customHeight="1" s="588">
      <c r="I249" s="16" t="n"/>
      <c r="J249" s="16" t="n"/>
    </row>
    <row r="250" ht="12.75" customHeight="1" s="588">
      <c r="I250" s="16" t="n"/>
      <c r="J250" s="16" t="n"/>
    </row>
    <row r="251" ht="12.75" customHeight="1" s="588">
      <c r="I251" s="16" t="n"/>
      <c r="J251" s="16" t="n"/>
    </row>
    <row r="252" ht="12.75" customHeight="1" s="588">
      <c r="I252" s="16" t="n"/>
      <c r="J252" s="16" t="n"/>
    </row>
    <row r="253" ht="12.75" customHeight="1" s="588">
      <c r="I253" s="16" t="n"/>
      <c r="J253" s="16" t="n"/>
    </row>
    <row r="254" ht="12.75" customHeight="1" s="588">
      <c r="I254" s="16" t="n"/>
      <c r="J254" s="16" t="n"/>
    </row>
    <row r="255" ht="12.75" customHeight="1" s="588">
      <c r="I255" s="16" t="n"/>
      <c r="J255" s="16" t="n"/>
    </row>
    <row r="256" ht="12.75" customHeight="1" s="588">
      <c r="I256" s="16" t="n"/>
      <c r="J256" s="16" t="n"/>
    </row>
    <row r="257" ht="12.75" customHeight="1" s="588">
      <c r="I257" s="16" t="n"/>
      <c r="J257" s="16" t="n"/>
    </row>
    <row r="258" ht="12.75" customHeight="1" s="588">
      <c r="I258" s="16" t="n"/>
      <c r="J258" s="16" t="n"/>
    </row>
    <row r="259" ht="12.75" customHeight="1" s="588">
      <c r="I259" s="16" t="n"/>
      <c r="J259" s="16" t="n"/>
    </row>
    <row r="260" ht="12.75" customHeight="1" s="588">
      <c r="I260" s="16" t="n"/>
      <c r="J260" s="16" t="n"/>
    </row>
    <row r="261" ht="12.75" customHeight="1" s="588">
      <c r="I261" s="16" t="n"/>
      <c r="J261" s="16" t="n"/>
    </row>
    <row r="262" ht="12.75" customHeight="1" s="588">
      <c r="I262" s="16" t="n"/>
      <c r="J262" s="16" t="n"/>
    </row>
    <row r="263" ht="12.75" customHeight="1" s="588">
      <c r="I263" s="16" t="n"/>
      <c r="J263" s="16" t="n"/>
    </row>
    <row r="264" ht="12.75" customHeight="1" s="588">
      <c r="I264" s="16" t="n"/>
      <c r="J264" s="16" t="n"/>
    </row>
    <row r="265" ht="12.75" customHeight="1" s="588">
      <c r="I265" s="16" t="n"/>
      <c r="J265" s="16" t="n"/>
    </row>
    <row r="266" ht="12.75" customHeight="1" s="588">
      <c r="I266" s="16" t="n"/>
      <c r="J266" s="16" t="n"/>
    </row>
    <row r="267" ht="12.75" customHeight="1" s="588">
      <c r="I267" s="16" t="n"/>
      <c r="J267" s="16" t="n"/>
    </row>
    <row r="268" ht="12.75" customHeight="1" s="588">
      <c r="I268" s="16" t="n"/>
      <c r="J268" s="16" t="n"/>
    </row>
    <row r="269" ht="12.75" customHeight="1" s="588">
      <c r="I269" s="16" t="n"/>
      <c r="J269" s="16" t="n"/>
    </row>
    <row r="270" ht="12.75" customHeight="1" s="588">
      <c r="I270" s="16" t="n"/>
      <c r="J270" s="16" t="n"/>
    </row>
    <row r="271" ht="12.75" customHeight="1" s="588">
      <c r="I271" s="16" t="n"/>
      <c r="J271" s="16" t="n"/>
    </row>
    <row r="272" ht="12.75" customHeight="1" s="588">
      <c r="I272" s="16" t="n"/>
      <c r="J272" s="16" t="n"/>
    </row>
    <row r="273" ht="12.75" customHeight="1" s="588">
      <c r="I273" s="16" t="n"/>
      <c r="J273" s="16" t="n"/>
    </row>
    <row r="274" ht="12.75" customHeight="1" s="588">
      <c r="I274" s="16" t="n"/>
      <c r="J274" s="16" t="n"/>
    </row>
    <row r="275" ht="12.75" customHeight="1" s="588">
      <c r="I275" s="16" t="n"/>
      <c r="J275" s="16" t="n"/>
    </row>
    <row r="276" ht="12.75" customHeight="1" s="588">
      <c r="I276" s="16" t="n"/>
      <c r="J276" s="16" t="n"/>
    </row>
    <row r="277" ht="12.75" customHeight="1" s="588">
      <c r="I277" s="16" t="n"/>
      <c r="J277" s="16" t="n"/>
    </row>
    <row r="278" ht="12.75" customHeight="1" s="588">
      <c r="I278" s="16" t="n"/>
      <c r="J278" s="16" t="n"/>
    </row>
    <row r="279" ht="12.75" customHeight="1" s="588">
      <c r="I279" s="16" t="n"/>
      <c r="J279" s="16" t="n"/>
    </row>
    <row r="280" ht="12.75" customHeight="1" s="588">
      <c r="I280" s="16" t="n"/>
      <c r="J280" s="16" t="n"/>
    </row>
    <row r="281" ht="12.75" customHeight="1" s="588">
      <c r="I281" s="16" t="n"/>
      <c r="J281" s="16" t="n"/>
    </row>
    <row r="282" ht="12.75" customHeight="1" s="588">
      <c r="I282" s="16" t="n"/>
      <c r="J282" s="16" t="n"/>
    </row>
    <row r="283" ht="12.75" customHeight="1" s="588">
      <c r="I283" s="16" t="n"/>
      <c r="J283" s="16" t="n"/>
    </row>
    <row r="284" ht="12.75" customHeight="1" s="588">
      <c r="I284" s="16" t="n"/>
      <c r="J284" s="16" t="n"/>
    </row>
    <row r="285" ht="12.75" customHeight="1" s="588">
      <c r="I285" s="16" t="n"/>
      <c r="J285" s="16" t="n"/>
    </row>
    <row r="286" ht="12.75" customHeight="1" s="588">
      <c r="I286" s="16" t="n"/>
      <c r="J286" s="16" t="n"/>
    </row>
    <row r="287" ht="12.75" customHeight="1" s="588">
      <c r="I287" s="16" t="n"/>
      <c r="J287" s="16" t="n"/>
    </row>
    <row r="288" ht="12.75" customHeight="1" s="588">
      <c r="I288" s="16" t="n"/>
      <c r="J288" s="16" t="n"/>
    </row>
    <row r="289" ht="12.75" customHeight="1" s="588">
      <c r="I289" s="16" t="n"/>
      <c r="J289" s="16" t="n"/>
    </row>
    <row r="290" ht="12.75" customHeight="1" s="588">
      <c r="I290" s="16" t="n"/>
      <c r="J290" s="16" t="n"/>
    </row>
    <row r="291" ht="12.75" customHeight="1" s="588">
      <c r="I291" s="16" t="n"/>
      <c r="J291" s="16" t="n"/>
    </row>
    <row r="292" ht="12.75" customHeight="1" s="588">
      <c r="I292" s="16" t="n"/>
      <c r="J292" s="16" t="n"/>
    </row>
    <row r="293" ht="12.75" customHeight="1" s="588">
      <c r="I293" s="16" t="n"/>
      <c r="J293" s="16" t="n"/>
    </row>
    <row r="294" ht="12.75" customHeight="1" s="588">
      <c r="I294" s="16" t="n"/>
      <c r="J294" s="16" t="n"/>
    </row>
    <row r="295" ht="12.75" customHeight="1" s="588">
      <c r="I295" s="16" t="n"/>
      <c r="J295" s="16" t="n"/>
    </row>
    <row r="296" ht="12.75" customHeight="1" s="588">
      <c r="I296" s="16" t="n"/>
      <c r="J296" s="16" t="n"/>
    </row>
    <row r="297" ht="12.75" customHeight="1" s="588">
      <c r="I297" s="16" t="n"/>
      <c r="J297" s="16" t="n"/>
    </row>
    <row r="298" ht="12.75" customHeight="1" s="588">
      <c r="I298" s="16" t="n"/>
      <c r="J298" s="16" t="n"/>
    </row>
    <row r="299" ht="12.75" customHeight="1" s="588">
      <c r="I299" s="16" t="n"/>
      <c r="J299" s="16" t="n"/>
    </row>
    <row r="300" ht="12.75" customHeight="1" s="588">
      <c r="I300" s="16" t="n"/>
      <c r="J300" s="16" t="n"/>
    </row>
    <row r="301" ht="12.75" customHeight="1" s="588">
      <c r="I301" s="16" t="n"/>
      <c r="J301" s="16" t="n"/>
    </row>
    <row r="302" ht="12.75" customHeight="1" s="588">
      <c r="I302" s="16" t="n"/>
      <c r="J302" s="16" t="n"/>
    </row>
    <row r="303" ht="12.75" customHeight="1" s="588">
      <c r="I303" s="16" t="n"/>
      <c r="J303" s="16" t="n"/>
    </row>
    <row r="304" ht="12.75" customHeight="1" s="588">
      <c r="I304" s="16" t="n"/>
      <c r="J304" s="16" t="n"/>
    </row>
    <row r="305" ht="12.75" customHeight="1" s="588">
      <c r="I305" s="16" t="n"/>
      <c r="J305" s="16" t="n"/>
    </row>
    <row r="306" ht="12.75" customHeight="1" s="588">
      <c r="I306" s="16" t="n"/>
      <c r="J306" s="16" t="n"/>
    </row>
    <row r="307" ht="12.75" customHeight="1" s="588">
      <c r="I307" s="16" t="n"/>
      <c r="J307" s="16" t="n"/>
    </row>
    <row r="308" ht="12.75" customHeight="1" s="588">
      <c r="I308" s="16" t="n"/>
      <c r="J308" s="16" t="n"/>
    </row>
    <row r="309" ht="12.75" customHeight="1" s="588">
      <c r="I309" s="16" t="n"/>
      <c r="J309" s="16" t="n"/>
    </row>
    <row r="310" ht="12.75" customHeight="1" s="588">
      <c r="I310" s="16" t="n"/>
      <c r="J310" s="16" t="n"/>
    </row>
    <row r="311" ht="12.75" customHeight="1" s="588">
      <c r="I311" s="16" t="n"/>
      <c r="J311" s="16" t="n"/>
    </row>
    <row r="312" ht="12.75" customHeight="1" s="588">
      <c r="I312" s="16" t="n"/>
      <c r="J312" s="16" t="n"/>
    </row>
    <row r="313" ht="12.75" customHeight="1" s="588">
      <c r="I313" s="16" t="n"/>
      <c r="J313" s="16" t="n"/>
    </row>
    <row r="314" ht="12.75" customHeight="1" s="588">
      <c r="I314" s="16" t="n"/>
      <c r="J314" s="16" t="n"/>
    </row>
    <row r="315" ht="12.75" customHeight="1" s="588">
      <c r="I315" s="16" t="n"/>
      <c r="J315" s="16" t="n"/>
    </row>
    <row r="316" ht="12.75" customHeight="1" s="588">
      <c r="I316" s="16" t="n"/>
      <c r="J316" s="16" t="n"/>
    </row>
    <row r="317" ht="12.75" customHeight="1" s="588">
      <c r="I317" s="16" t="n"/>
      <c r="J317" s="16" t="n"/>
    </row>
    <row r="318" ht="12.75" customHeight="1" s="588">
      <c r="I318" s="16" t="n"/>
      <c r="J318" s="16" t="n"/>
    </row>
    <row r="319" ht="12.75" customHeight="1" s="588">
      <c r="I319" s="16" t="n"/>
      <c r="J319" s="16" t="n"/>
    </row>
    <row r="320" ht="12.75" customHeight="1" s="588">
      <c r="I320" s="16" t="n"/>
      <c r="J320" s="16" t="n"/>
    </row>
    <row r="321" ht="12.75" customHeight="1" s="588">
      <c r="I321" s="16" t="n"/>
      <c r="J321" s="16" t="n"/>
    </row>
    <row r="322" ht="12.75" customHeight="1" s="588">
      <c r="I322" s="16" t="n"/>
      <c r="J322" s="16" t="n"/>
    </row>
    <row r="323" ht="12.75" customHeight="1" s="588">
      <c r="I323" s="16" t="n"/>
      <c r="J323" s="16" t="n"/>
    </row>
    <row r="324" ht="12.75" customHeight="1" s="588">
      <c r="I324" s="16" t="n"/>
      <c r="J324" s="16" t="n"/>
    </row>
    <row r="325" ht="12.75" customHeight="1" s="588">
      <c r="I325" s="16" t="n"/>
      <c r="J325" s="16" t="n"/>
    </row>
    <row r="326" ht="12.75" customHeight="1" s="588">
      <c r="I326" s="16" t="n"/>
      <c r="J326" s="16" t="n"/>
    </row>
    <row r="327" ht="12.75" customHeight="1" s="588">
      <c r="I327" s="16" t="n"/>
      <c r="J327" s="16" t="n"/>
    </row>
    <row r="328" ht="12.75" customHeight="1" s="588">
      <c r="I328" s="16" t="n"/>
      <c r="J328" s="16" t="n"/>
    </row>
    <row r="329" ht="12.75" customHeight="1" s="588">
      <c r="I329" s="16" t="n"/>
      <c r="J329" s="16" t="n"/>
    </row>
    <row r="330" ht="12.75" customHeight="1" s="588">
      <c r="I330" s="16" t="n"/>
      <c r="J330" s="16" t="n"/>
    </row>
    <row r="331" ht="12.75" customHeight="1" s="588">
      <c r="I331" s="16" t="n"/>
      <c r="J331" s="16" t="n"/>
    </row>
    <row r="332" ht="12.75" customHeight="1" s="588">
      <c r="I332" s="16" t="n"/>
      <c r="J332" s="16" t="n"/>
    </row>
    <row r="333" ht="12.75" customHeight="1" s="588">
      <c r="I333" s="16" t="n"/>
      <c r="J333" s="16" t="n"/>
    </row>
    <row r="334" ht="12.75" customHeight="1" s="588">
      <c r="I334" s="16" t="n"/>
      <c r="J334" s="16" t="n"/>
    </row>
    <row r="335" ht="12.75" customHeight="1" s="588">
      <c r="I335" s="16" t="n"/>
      <c r="J335" s="16" t="n"/>
    </row>
    <row r="336" ht="12.75" customHeight="1" s="588">
      <c r="I336" s="16" t="n"/>
      <c r="J336" s="16" t="n"/>
    </row>
    <row r="337" ht="12.75" customHeight="1" s="588">
      <c r="I337" s="16" t="n"/>
      <c r="J337" s="16" t="n"/>
    </row>
    <row r="338" ht="12.75" customHeight="1" s="588">
      <c r="I338" s="16" t="n"/>
      <c r="J338" s="16" t="n"/>
    </row>
    <row r="339" ht="12.75" customHeight="1" s="588">
      <c r="I339" s="16" t="n"/>
      <c r="J339" s="16" t="n"/>
    </row>
    <row r="340" ht="12.75" customHeight="1" s="588">
      <c r="I340" s="16" t="n"/>
      <c r="J340" s="16" t="n"/>
    </row>
    <row r="341" ht="12.75" customHeight="1" s="588">
      <c r="I341" s="16" t="n"/>
      <c r="J341" s="16" t="n"/>
    </row>
    <row r="342" ht="12.75" customHeight="1" s="588">
      <c r="I342" s="16" t="n"/>
      <c r="J342" s="16" t="n"/>
    </row>
    <row r="343" ht="12.75" customHeight="1" s="588">
      <c r="I343" s="16" t="n"/>
      <c r="J343" s="16" t="n"/>
    </row>
    <row r="344" ht="12.75" customHeight="1" s="588">
      <c r="I344" s="16" t="n"/>
      <c r="J344" s="16" t="n"/>
    </row>
    <row r="345" ht="12.75" customHeight="1" s="588">
      <c r="I345" s="16" t="n"/>
      <c r="J345" s="16" t="n"/>
    </row>
    <row r="346" ht="12.75" customHeight="1" s="588">
      <c r="I346" s="16" t="n"/>
      <c r="J346" s="16" t="n"/>
    </row>
    <row r="347" ht="12.75" customHeight="1" s="588">
      <c r="I347" s="16" t="n"/>
      <c r="J347" s="16" t="n"/>
    </row>
    <row r="348" ht="12.75" customHeight="1" s="588">
      <c r="I348" s="16" t="n"/>
      <c r="J348" s="16" t="n"/>
    </row>
    <row r="349" ht="12.75" customHeight="1" s="588">
      <c r="I349" s="16" t="n"/>
      <c r="J349" s="16" t="n"/>
    </row>
    <row r="350" ht="12.75" customHeight="1" s="588">
      <c r="I350" s="16" t="n"/>
      <c r="J350" s="16" t="n"/>
    </row>
    <row r="351" ht="12.75" customHeight="1" s="588">
      <c r="I351" s="16" t="n"/>
      <c r="J351" s="16" t="n"/>
    </row>
    <row r="352" ht="12.75" customHeight="1" s="588">
      <c r="I352" s="16" t="n"/>
      <c r="J352" s="16" t="n"/>
    </row>
    <row r="353" ht="12.75" customHeight="1" s="588">
      <c r="I353" s="16" t="n"/>
      <c r="J353" s="16" t="n"/>
    </row>
    <row r="354" ht="12.75" customHeight="1" s="588">
      <c r="I354" s="16" t="n"/>
      <c r="J354" s="16" t="n"/>
    </row>
    <row r="355" ht="12.75" customHeight="1" s="588">
      <c r="I355" s="16" t="n"/>
      <c r="J355" s="16" t="n"/>
    </row>
    <row r="356" ht="12.75" customHeight="1" s="588">
      <c r="I356" s="16" t="n"/>
      <c r="J356" s="16" t="n"/>
    </row>
    <row r="357" ht="12.75" customHeight="1" s="588">
      <c r="I357" s="16" t="n"/>
      <c r="J357" s="16" t="n"/>
    </row>
    <row r="358" ht="12.75" customHeight="1" s="588">
      <c r="I358" s="16" t="n"/>
      <c r="J358" s="16" t="n"/>
    </row>
    <row r="359" ht="12.75" customHeight="1" s="588">
      <c r="I359" s="16" t="n"/>
      <c r="J359" s="16" t="n"/>
    </row>
    <row r="360" ht="12.75" customHeight="1" s="588">
      <c r="I360" s="16" t="n"/>
      <c r="J360" s="16" t="n"/>
    </row>
    <row r="361" ht="12.75" customHeight="1" s="588">
      <c r="I361" s="16" t="n"/>
      <c r="J361" s="16" t="n"/>
    </row>
    <row r="362" ht="12.75" customHeight="1" s="588">
      <c r="I362" s="16" t="n"/>
      <c r="J362" s="16" t="n"/>
    </row>
    <row r="363" ht="12.75" customHeight="1" s="588">
      <c r="I363" s="16" t="n"/>
      <c r="J363" s="16" t="n"/>
    </row>
    <row r="364" ht="12.75" customHeight="1" s="588">
      <c r="I364" s="16" t="n"/>
      <c r="J364" s="16" t="n"/>
    </row>
    <row r="365" ht="12.75" customHeight="1" s="588">
      <c r="I365" s="16" t="n"/>
      <c r="J365" s="16" t="n"/>
    </row>
    <row r="366" ht="12.75" customHeight="1" s="588">
      <c r="I366" s="16" t="n"/>
      <c r="J366" s="16" t="n"/>
    </row>
    <row r="367" ht="12.75" customHeight="1" s="588">
      <c r="I367" s="16" t="n"/>
      <c r="J367" s="16" t="n"/>
    </row>
    <row r="368" ht="12.75" customHeight="1" s="588">
      <c r="I368" s="16" t="n"/>
      <c r="J368" s="16" t="n"/>
    </row>
    <row r="369" ht="12.75" customHeight="1" s="588">
      <c r="I369" s="16" t="n"/>
      <c r="J369" s="16" t="n"/>
    </row>
    <row r="370" ht="12.75" customHeight="1" s="588">
      <c r="I370" s="16" t="n"/>
      <c r="J370" s="16" t="n"/>
    </row>
    <row r="371" ht="12.75" customHeight="1" s="588">
      <c r="I371" s="16" t="n"/>
      <c r="J371" s="16" t="n"/>
    </row>
    <row r="372" ht="12.75" customHeight="1" s="588">
      <c r="I372" s="16" t="n"/>
      <c r="J372" s="16" t="n"/>
    </row>
    <row r="373" ht="12.75" customHeight="1" s="588">
      <c r="I373" s="16" t="n"/>
      <c r="J373" s="16" t="n"/>
    </row>
    <row r="374" ht="12.75" customHeight="1" s="588">
      <c r="I374" s="16" t="n"/>
      <c r="J374" s="16" t="n"/>
    </row>
    <row r="375" ht="12.75" customHeight="1" s="588">
      <c r="I375" s="16" t="n"/>
      <c r="J375" s="16" t="n"/>
    </row>
    <row r="376" ht="12.75" customHeight="1" s="588">
      <c r="I376" s="16" t="n"/>
      <c r="J376" s="16" t="n"/>
    </row>
    <row r="377" ht="12.75" customHeight="1" s="588">
      <c r="I377" s="16" t="n"/>
      <c r="J377" s="16" t="n"/>
    </row>
    <row r="378" ht="12.75" customHeight="1" s="588">
      <c r="I378" s="16" t="n"/>
      <c r="J378" s="16" t="n"/>
    </row>
    <row r="379" ht="12.75" customHeight="1" s="588">
      <c r="I379" s="16" t="n"/>
      <c r="J379" s="16" t="n"/>
    </row>
    <row r="380" ht="12.75" customHeight="1" s="588">
      <c r="I380" s="16" t="n"/>
      <c r="J380" s="16" t="n"/>
    </row>
    <row r="381" ht="12.75" customHeight="1" s="588">
      <c r="I381" s="16" t="n"/>
      <c r="J381" s="16" t="n"/>
    </row>
    <row r="382" ht="12.75" customHeight="1" s="588">
      <c r="I382" s="16" t="n"/>
      <c r="J382" s="16" t="n"/>
    </row>
    <row r="383" ht="12.75" customHeight="1" s="588">
      <c r="I383" s="16" t="n"/>
      <c r="J383" s="16" t="n"/>
    </row>
    <row r="384" ht="12.75" customHeight="1" s="588">
      <c r="I384" s="16" t="n"/>
      <c r="J384" s="16" t="n"/>
    </row>
    <row r="385" ht="12.75" customHeight="1" s="588">
      <c r="I385" s="16" t="n"/>
      <c r="J385" s="16" t="n"/>
    </row>
    <row r="386" ht="12.75" customHeight="1" s="588">
      <c r="I386" s="16" t="n"/>
      <c r="J386" s="16" t="n"/>
    </row>
    <row r="387" ht="12.75" customHeight="1" s="588">
      <c r="I387" s="16" t="n"/>
      <c r="J387" s="16" t="n"/>
    </row>
    <row r="388" ht="12.75" customHeight="1" s="588">
      <c r="I388" s="16" t="n"/>
      <c r="J388" s="16" t="n"/>
    </row>
    <row r="389" ht="12.75" customHeight="1" s="588">
      <c r="I389" s="16" t="n"/>
      <c r="J389" s="16" t="n"/>
    </row>
    <row r="390" ht="12.75" customHeight="1" s="588">
      <c r="I390" s="16" t="n"/>
      <c r="J390" s="16" t="n"/>
    </row>
    <row r="391" ht="12.75" customHeight="1" s="588">
      <c r="I391" s="16" t="n"/>
      <c r="J391" s="16" t="n"/>
    </row>
    <row r="392" ht="12.75" customHeight="1" s="588">
      <c r="I392" s="16" t="n"/>
      <c r="J392" s="16" t="n"/>
    </row>
    <row r="393" ht="12.75" customHeight="1" s="588">
      <c r="I393" s="16" t="n"/>
      <c r="J393" s="16" t="n"/>
    </row>
    <row r="394" ht="12.75" customHeight="1" s="588">
      <c r="I394" s="16" t="n"/>
      <c r="J394" s="16" t="n"/>
    </row>
    <row r="395" ht="12.75" customHeight="1" s="588">
      <c r="I395" s="16" t="n"/>
      <c r="J395" s="16" t="n"/>
    </row>
    <row r="396" ht="12.75" customHeight="1" s="588">
      <c r="I396" s="16" t="n"/>
      <c r="J396" s="16" t="n"/>
    </row>
    <row r="397" ht="12.75" customHeight="1" s="588">
      <c r="I397" s="16" t="n"/>
      <c r="J397" s="16" t="n"/>
    </row>
    <row r="398" ht="12.75" customHeight="1" s="588">
      <c r="I398" s="16" t="n"/>
      <c r="J398" s="16" t="n"/>
    </row>
    <row r="399" ht="12.75" customHeight="1" s="588">
      <c r="I399" s="16" t="n"/>
      <c r="J399" s="16" t="n"/>
    </row>
    <row r="400" ht="12.75" customHeight="1" s="588">
      <c r="I400" s="16" t="n"/>
      <c r="J400" s="16" t="n"/>
    </row>
    <row r="401" ht="12.75" customHeight="1" s="588">
      <c r="I401" s="16" t="n"/>
      <c r="J401" s="16" t="n"/>
    </row>
    <row r="402" ht="12.75" customHeight="1" s="588">
      <c r="I402" s="16" t="n"/>
      <c r="J402" s="16" t="n"/>
    </row>
    <row r="403" ht="12.75" customHeight="1" s="588">
      <c r="I403" s="16" t="n"/>
      <c r="J403" s="16" t="n"/>
    </row>
    <row r="404" ht="12.75" customHeight="1" s="588">
      <c r="I404" s="16" t="n"/>
      <c r="J404" s="16" t="n"/>
    </row>
    <row r="405" ht="12.75" customHeight="1" s="588">
      <c r="I405" s="16" t="n"/>
      <c r="J405" s="16" t="n"/>
    </row>
    <row r="406" ht="12.75" customHeight="1" s="588">
      <c r="I406" s="16" t="n"/>
      <c r="J406" s="16" t="n"/>
    </row>
    <row r="407" ht="12.75" customHeight="1" s="588">
      <c r="I407" s="16" t="n"/>
      <c r="J407" s="16" t="n"/>
    </row>
    <row r="408" ht="12.75" customHeight="1" s="588">
      <c r="I408" s="16" t="n"/>
      <c r="J408" s="16" t="n"/>
    </row>
    <row r="409" ht="12.75" customHeight="1" s="588">
      <c r="I409" s="16" t="n"/>
      <c r="J409" s="16" t="n"/>
    </row>
    <row r="410" ht="12.75" customHeight="1" s="588">
      <c r="I410" s="16" t="n"/>
      <c r="J410" s="16" t="n"/>
    </row>
    <row r="411" ht="12.75" customHeight="1" s="588">
      <c r="I411" s="16" t="n"/>
      <c r="J411" s="16" t="n"/>
    </row>
    <row r="412" ht="12.75" customHeight="1" s="588">
      <c r="I412" s="16" t="n"/>
      <c r="J412" s="16" t="n"/>
    </row>
    <row r="413" ht="12.75" customHeight="1" s="588">
      <c r="I413" s="16" t="n"/>
      <c r="J413" s="16" t="n"/>
    </row>
    <row r="414" ht="12.75" customHeight="1" s="588">
      <c r="I414" s="16" t="n"/>
      <c r="J414" s="16" t="n"/>
    </row>
    <row r="415" ht="12.75" customHeight="1" s="588">
      <c r="I415" s="16" t="n"/>
      <c r="J415" s="16" t="n"/>
    </row>
    <row r="416" ht="12.75" customHeight="1" s="588">
      <c r="I416" s="16" t="n"/>
      <c r="J416" s="16" t="n"/>
    </row>
    <row r="417" ht="12.75" customHeight="1" s="588">
      <c r="I417" s="16" t="n"/>
      <c r="J417" s="16" t="n"/>
    </row>
    <row r="418" ht="12.75" customHeight="1" s="588">
      <c r="I418" s="16" t="n"/>
      <c r="J418" s="16" t="n"/>
    </row>
    <row r="419" ht="12.75" customHeight="1" s="588">
      <c r="I419" s="16" t="n"/>
      <c r="J419" s="16" t="n"/>
    </row>
    <row r="420" ht="12.75" customHeight="1" s="588">
      <c r="I420" s="16" t="n"/>
      <c r="J420" s="16" t="n"/>
    </row>
    <row r="421" ht="12.75" customHeight="1" s="588">
      <c r="I421" s="16" t="n"/>
      <c r="J421" s="16" t="n"/>
    </row>
    <row r="422" ht="12.75" customHeight="1" s="588">
      <c r="I422" s="16" t="n"/>
      <c r="J422" s="16" t="n"/>
    </row>
    <row r="423" ht="12.75" customHeight="1" s="588">
      <c r="I423" s="16" t="n"/>
      <c r="J423" s="16" t="n"/>
    </row>
    <row r="424" ht="12.75" customHeight="1" s="588">
      <c r="I424" s="16" t="n"/>
      <c r="J424" s="16" t="n"/>
    </row>
    <row r="425" ht="12.75" customHeight="1" s="588">
      <c r="I425" s="16" t="n"/>
      <c r="J425" s="16" t="n"/>
    </row>
    <row r="426" ht="12.75" customHeight="1" s="588">
      <c r="I426" s="16" t="n"/>
      <c r="J426" s="16" t="n"/>
    </row>
    <row r="427" ht="12.75" customHeight="1" s="588">
      <c r="I427" s="16" t="n"/>
      <c r="J427" s="16" t="n"/>
    </row>
    <row r="428" ht="12.75" customHeight="1" s="588">
      <c r="I428" s="16" t="n"/>
      <c r="J428" s="16" t="n"/>
    </row>
    <row r="429" ht="12.75" customHeight="1" s="588">
      <c r="I429" s="16" t="n"/>
      <c r="J429" s="16" t="n"/>
    </row>
    <row r="430" ht="12.75" customHeight="1" s="588">
      <c r="I430" s="16" t="n"/>
      <c r="J430" s="16" t="n"/>
    </row>
    <row r="431" ht="12.75" customHeight="1" s="588">
      <c r="I431" s="16" t="n"/>
      <c r="J431" s="16" t="n"/>
    </row>
    <row r="432" ht="12.75" customHeight="1" s="588">
      <c r="I432" s="16" t="n"/>
      <c r="J432" s="16" t="n"/>
    </row>
    <row r="433" ht="12.75" customHeight="1" s="588">
      <c r="I433" s="16" t="n"/>
      <c r="J433" s="16" t="n"/>
    </row>
    <row r="434" ht="12.75" customHeight="1" s="588">
      <c r="I434" s="16" t="n"/>
      <c r="J434" s="16" t="n"/>
    </row>
    <row r="435" ht="12.75" customHeight="1" s="588">
      <c r="I435" s="16" t="n"/>
      <c r="J435" s="16" t="n"/>
    </row>
    <row r="436" ht="12.75" customHeight="1" s="588">
      <c r="I436" s="16" t="n"/>
      <c r="J436" s="16" t="n"/>
    </row>
    <row r="437" ht="12.75" customHeight="1" s="588">
      <c r="I437" s="16" t="n"/>
      <c r="J437" s="16" t="n"/>
    </row>
    <row r="438" ht="12.75" customHeight="1" s="588">
      <c r="I438" s="16" t="n"/>
      <c r="J438" s="16" t="n"/>
    </row>
    <row r="439" ht="12.75" customHeight="1" s="588">
      <c r="I439" s="16" t="n"/>
      <c r="J439" s="16" t="n"/>
    </row>
    <row r="440" ht="12.75" customHeight="1" s="588">
      <c r="I440" s="16" t="n"/>
      <c r="J440" s="16" t="n"/>
    </row>
    <row r="441" ht="12.75" customHeight="1" s="588">
      <c r="I441" s="16" t="n"/>
      <c r="J441" s="16" t="n"/>
    </row>
    <row r="442" ht="12.75" customHeight="1" s="588">
      <c r="I442" s="16" t="n"/>
      <c r="J442" s="16" t="n"/>
    </row>
    <row r="443" ht="12.75" customHeight="1" s="588">
      <c r="I443" s="16" t="n"/>
      <c r="J443" s="16" t="n"/>
    </row>
    <row r="444" ht="12.75" customHeight="1" s="588">
      <c r="I444" s="16" t="n"/>
      <c r="J444" s="16" t="n"/>
    </row>
    <row r="445" ht="12.75" customHeight="1" s="588">
      <c r="I445" s="16" t="n"/>
      <c r="J445" s="16" t="n"/>
    </row>
    <row r="446" ht="12.75" customHeight="1" s="588">
      <c r="I446" s="16" t="n"/>
      <c r="J446" s="16" t="n"/>
    </row>
    <row r="447" ht="12.75" customHeight="1" s="588">
      <c r="I447" s="16" t="n"/>
      <c r="J447" s="16" t="n"/>
    </row>
    <row r="448" ht="12.75" customHeight="1" s="588">
      <c r="I448" s="16" t="n"/>
      <c r="J448" s="16" t="n"/>
    </row>
    <row r="449" ht="12.75" customHeight="1" s="588">
      <c r="I449" s="16" t="n"/>
      <c r="J449" s="16" t="n"/>
    </row>
    <row r="450" ht="12.75" customHeight="1" s="588">
      <c r="I450" s="16" t="n"/>
      <c r="J450" s="16" t="n"/>
    </row>
    <row r="451" ht="12.75" customHeight="1" s="588">
      <c r="I451" s="16" t="n"/>
      <c r="J451" s="16" t="n"/>
    </row>
    <row r="452" ht="12.75" customHeight="1" s="588">
      <c r="I452" s="16" t="n"/>
      <c r="J452" s="16" t="n"/>
    </row>
    <row r="453" ht="12.75" customHeight="1" s="588">
      <c r="I453" s="16" t="n"/>
      <c r="J453" s="16" t="n"/>
    </row>
    <row r="454" ht="12.75" customHeight="1" s="588">
      <c r="I454" s="16" t="n"/>
      <c r="J454" s="16" t="n"/>
    </row>
    <row r="455" ht="12.75" customHeight="1" s="588">
      <c r="I455" s="16" t="n"/>
      <c r="J455" s="16" t="n"/>
    </row>
    <row r="456" ht="12.75" customHeight="1" s="588">
      <c r="I456" s="16" t="n"/>
      <c r="J456" s="16" t="n"/>
    </row>
    <row r="457" ht="12.75" customHeight="1" s="588">
      <c r="I457" s="16" t="n"/>
      <c r="J457" s="16" t="n"/>
    </row>
    <row r="458" ht="12.75" customHeight="1" s="588">
      <c r="I458" s="16" t="n"/>
      <c r="J458" s="16" t="n"/>
    </row>
    <row r="459" ht="12.75" customHeight="1" s="588">
      <c r="I459" s="16" t="n"/>
      <c r="J459" s="16" t="n"/>
    </row>
    <row r="460" ht="12.75" customHeight="1" s="588">
      <c r="I460" s="16" t="n"/>
      <c r="J460" s="16" t="n"/>
    </row>
    <row r="461" ht="12.75" customHeight="1" s="588">
      <c r="I461" s="16" t="n"/>
      <c r="J461" s="16" t="n"/>
    </row>
    <row r="462" ht="12.75" customHeight="1" s="588">
      <c r="I462" s="16" t="n"/>
      <c r="J462" s="16" t="n"/>
    </row>
    <row r="463" ht="12.75" customHeight="1" s="588">
      <c r="I463" s="16" t="n"/>
      <c r="J463" s="16" t="n"/>
    </row>
    <row r="464" ht="12.75" customHeight="1" s="588">
      <c r="I464" s="16" t="n"/>
      <c r="J464" s="16" t="n"/>
    </row>
    <row r="465" ht="12.75" customHeight="1" s="588">
      <c r="I465" s="16" t="n"/>
      <c r="J465" s="16" t="n"/>
    </row>
    <row r="466" ht="12.75" customHeight="1" s="588">
      <c r="I466" s="16" t="n"/>
      <c r="J466" s="16" t="n"/>
    </row>
    <row r="467" ht="12.75" customHeight="1" s="588">
      <c r="I467" s="16" t="n"/>
      <c r="J467" s="16" t="n"/>
    </row>
    <row r="468" ht="12.75" customHeight="1" s="588">
      <c r="I468" s="16" t="n"/>
      <c r="J468" s="16" t="n"/>
    </row>
    <row r="469" ht="12.75" customHeight="1" s="588">
      <c r="I469" s="16" t="n"/>
      <c r="J469" s="16" t="n"/>
    </row>
    <row r="470" ht="12.75" customHeight="1" s="588">
      <c r="I470" s="16" t="n"/>
      <c r="J470" s="16" t="n"/>
    </row>
    <row r="471" ht="12.75" customHeight="1" s="588">
      <c r="I471" s="16" t="n"/>
      <c r="J471" s="16" t="n"/>
    </row>
    <row r="472" ht="12.75" customHeight="1" s="588">
      <c r="I472" s="16" t="n"/>
      <c r="J472" s="16" t="n"/>
    </row>
    <row r="473" ht="12.75" customHeight="1" s="588">
      <c r="I473" s="16" t="n"/>
      <c r="J473" s="16" t="n"/>
    </row>
    <row r="474" ht="12.75" customHeight="1" s="588">
      <c r="I474" s="16" t="n"/>
      <c r="J474" s="16" t="n"/>
    </row>
    <row r="475" ht="12.75" customHeight="1" s="588">
      <c r="I475" s="16" t="n"/>
      <c r="J475" s="16" t="n"/>
    </row>
    <row r="476" ht="12.75" customHeight="1" s="588">
      <c r="I476" s="16" t="n"/>
      <c r="J476" s="16" t="n"/>
    </row>
    <row r="477" ht="12.75" customHeight="1" s="588">
      <c r="I477" s="16" t="n"/>
      <c r="J477" s="16" t="n"/>
    </row>
    <row r="478" ht="12.75" customHeight="1" s="588">
      <c r="I478" s="16" t="n"/>
      <c r="J478" s="16" t="n"/>
    </row>
    <row r="479" ht="12.75" customHeight="1" s="588">
      <c r="I479" s="16" t="n"/>
      <c r="J479" s="16" t="n"/>
    </row>
    <row r="480" ht="12.75" customHeight="1" s="588">
      <c r="I480" s="16" t="n"/>
      <c r="J480" s="16" t="n"/>
    </row>
    <row r="481" ht="12.75" customHeight="1" s="588">
      <c r="I481" s="16" t="n"/>
      <c r="J481" s="16" t="n"/>
    </row>
    <row r="482" ht="12.75" customHeight="1" s="588">
      <c r="I482" s="16" t="n"/>
      <c r="J482" s="16" t="n"/>
    </row>
    <row r="483" ht="12.75" customHeight="1" s="588">
      <c r="I483" s="16" t="n"/>
      <c r="J483" s="16" t="n"/>
    </row>
    <row r="484" ht="12.75" customHeight="1" s="588">
      <c r="I484" s="16" t="n"/>
      <c r="J484" s="16" t="n"/>
    </row>
    <row r="485" ht="12.75" customHeight="1" s="588">
      <c r="I485" s="16" t="n"/>
      <c r="J485" s="16" t="n"/>
    </row>
    <row r="486" ht="12.75" customHeight="1" s="588">
      <c r="I486" s="16" t="n"/>
      <c r="J486" s="16" t="n"/>
    </row>
    <row r="487" ht="12.75" customHeight="1" s="588">
      <c r="I487" s="16" t="n"/>
      <c r="J487" s="16" t="n"/>
    </row>
    <row r="488" ht="12.75" customHeight="1" s="588">
      <c r="I488" s="16" t="n"/>
      <c r="J488" s="16" t="n"/>
    </row>
    <row r="489" ht="12.75" customHeight="1" s="588">
      <c r="I489" s="16" t="n"/>
      <c r="J489" s="16" t="n"/>
    </row>
    <row r="490" ht="12.75" customHeight="1" s="588">
      <c r="I490" s="16" t="n"/>
      <c r="J490" s="16" t="n"/>
    </row>
    <row r="491" ht="12.75" customHeight="1" s="588">
      <c r="I491" s="16" t="n"/>
      <c r="J491" s="16" t="n"/>
    </row>
    <row r="492" ht="12.75" customHeight="1" s="588">
      <c r="I492" s="16" t="n"/>
      <c r="J492" s="16" t="n"/>
    </row>
    <row r="493" ht="12.75" customHeight="1" s="588">
      <c r="I493" s="16" t="n"/>
      <c r="J493" s="16" t="n"/>
    </row>
    <row r="494" ht="12.75" customHeight="1" s="588">
      <c r="I494" s="16" t="n"/>
      <c r="J494" s="16" t="n"/>
    </row>
    <row r="495" ht="12.75" customHeight="1" s="588">
      <c r="I495" s="16" t="n"/>
      <c r="J495" s="16" t="n"/>
    </row>
    <row r="496" ht="12.75" customHeight="1" s="588">
      <c r="I496" s="16" t="n"/>
      <c r="J496" s="16" t="n"/>
    </row>
    <row r="497" ht="12.75" customHeight="1" s="588">
      <c r="I497" s="16" t="n"/>
      <c r="J497" s="16" t="n"/>
    </row>
    <row r="498" ht="12.75" customHeight="1" s="588">
      <c r="I498" s="16" t="n"/>
      <c r="J498" s="16" t="n"/>
    </row>
    <row r="499" ht="12.75" customHeight="1" s="588">
      <c r="I499" s="16" t="n"/>
      <c r="J499" s="16" t="n"/>
    </row>
    <row r="500" ht="12.75" customHeight="1" s="588">
      <c r="I500" s="16" t="n"/>
      <c r="J500" s="16" t="n"/>
    </row>
    <row r="501" ht="12.75" customHeight="1" s="588">
      <c r="I501" s="16" t="n"/>
      <c r="J501" s="16" t="n"/>
    </row>
    <row r="502" ht="12.75" customHeight="1" s="588">
      <c r="I502" s="16" t="n"/>
      <c r="J502" s="16" t="n"/>
    </row>
    <row r="503" ht="12.75" customHeight="1" s="588">
      <c r="I503" s="16" t="n"/>
      <c r="J503" s="16" t="n"/>
    </row>
    <row r="504" ht="12.75" customHeight="1" s="588">
      <c r="I504" s="16" t="n"/>
      <c r="J504" s="16" t="n"/>
    </row>
    <row r="505" ht="12.75" customHeight="1" s="588">
      <c r="I505" s="16" t="n"/>
      <c r="J505" s="16" t="n"/>
    </row>
    <row r="506" ht="12.75" customHeight="1" s="588">
      <c r="I506" s="16" t="n"/>
      <c r="J506" s="16" t="n"/>
    </row>
    <row r="507" ht="12.75" customHeight="1" s="588">
      <c r="I507" s="16" t="n"/>
      <c r="J507" s="16" t="n"/>
    </row>
    <row r="508" ht="12.75" customHeight="1" s="588">
      <c r="I508" s="16" t="n"/>
      <c r="J508" s="16" t="n"/>
    </row>
    <row r="509" ht="12.75" customHeight="1" s="588">
      <c r="I509" s="16" t="n"/>
      <c r="J509" s="16" t="n"/>
    </row>
    <row r="510" ht="12.75" customHeight="1" s="588">
      <c r="I510" s="16" t="n"/>
      <c r="J510" s="16" t="n"/>
    </row>
    <row r="511" ht="12.75" customHeight="1" s="588">
      <c r="I511" s="16" t="n"/>
      <c r="J511" s="16" t="n"/>
    </row>
    <row r="512" ht="12.75" customHeight="1" s="588">
      <c r="I512" s="16" t="n"/>
      <c r="J512" s="16" t="n"/>
    </row>
    <row r="513" ht="12.75" customHeight="1" s="588">
      <c r="I513" s="16" t="n"/>
      <c r="J513" s="16" t="n"/>
    </row>
    <row r="514" ht="12.75" customHeight="1" s="588">
      <c r="I514" s="16" t="n"/>
      <c r="J514" s="16" t="n"/>
    </row>
    <row r="515" ht="12.75" customHeight="1" s="588">
      <c r="I515" s="16" t="n"/>
      <c r="J515" s="16" t="n"/>
    </row>
    <row r="516" ht="12.75" customHeight="1" s="588">
      <c r="I516" s="16" t="n"/>
      <c r="J516" s="16" t="n"/>
    </row>
    <row r="517" ht="12.75" customHeight="1" s="588">
      <c r="I517" s="16" t="n"/>
      <c r="J517" s="16" t="n"/>
    </row>
    <row r="518" ht="12.75" customHeight="1" s="588">
      <c r="I518" s="16" t="n"/>
      <c r="J518" s="16" t="n"/>
    </row>
    <row r="519" ht="12.75" customHeight="1" s="588">
      <c r="I519" s="16" t="n"/>
      <c r="J519" s="16" t="n"/>
    </row>
    <row r="520" ht="12.75" customHeight="1" s="588">
      <c r="I520" s="16" t="n"/>
      <c r="J520" s="16" t="n"/>
    </row>
    <row r="521" ht="12.75" customHeight="1" s="588">
      <c r="I521" s="16" t="n"/>
      <c r="J521" s="16" t="n"/>
    </row>
    <row r="522" ht="12.75" customHeight="1" s="588">
      <c r="I522" s="16" t="n"/>
      <c r="J522" s="16" t="n"/>
    </row>
    <row r="523" ht="12.75" customHeight="1" s="588">
      <c r="I523" s="16" t="n"/>
      <c r="J523" s="16" t="n"/>
    </row>
    <row r="524" ht="12.75" customHeight="1" s="588">
      <c r="I524" s="16" t="n"/>
      <c r="J524" s="16" t="n"/>
    </row>
    <row r="525" ht="12.75" customHeight="1" s="588">
      <c r="I525" s="16" t="n"/>
      <c r="J525" s="16" t="n"/>
    </row>
    <row r="526" ht="12.75" customHeight="1" s="588">
      <c r="I526" s="16" t="n"/>
      <c r="J526" s="16" t="n"/>
    </row>
    <row r="527" ht="12.75" customHeight="1" s="588">
      <c r="I527" s="16" t="n"/>
      <c r="J527" s="16" t="n"/>
    </row>
    <row r="528" ht="12.75" customHeight="1" s="588">
      <c r="I528" s="16" t="n"/>
      <c r="J528" s="16" t="n"/>
    </row>
    <row r="529" ht="12.75" customHeight="1" s="588">
      <c r="I529" s="16" t="n"/>
      <c r="J529" s="16" t="n"/>
    </row>
    <row r="530" ht="12.75" customHeight="1" s="588">
      <c r="I530" s="16" t="n"/>
      <c r="J530" s="16" t="n"/>
    </row>
    <row r="531" ht="12.75" customHeight="1" s="588">
      <c r="I531" s="16" t="n"/>
      <c r="J531" s="16" t="n"/>
    </row>
    <row r="532" ht="12.75" customHeight="1" s="588">
      <c r="I532" s="16" t="n"/>
      <c r="J532" s="16" t="n"/>
    </row>
    <row r="533" ht="12.75" customHeight="1" s="588">
      <c r="I533" s="16" t="n"/>
      <c r="J533" s="16" t="n"/>
    </row>
    <row r="534" ht="12.75" customHeight="1" s="588">
      <c r="I534" s="16" t="n"/>
      <c r="J534" s="16" t="n"/>
    </row>
    <row r="535" ht="12.75" customHeight="1" s="588">
      <c r="I535" s="16" t="n"/>
      <c r="J535" s="16" t="n"/>
    </row>
    <row r="536" ht="12.75" customHeight="1" s="588">
      <c r="I536" s="16" t="n"/>
      <c r="J536" s="16" t="n"/>
    </row>
    <row r="537" ht="12.75" customHeight="1" s="588">
      <c r="I537" s="16" t="n"/>
      <c r="J537" s="16" t="n"/>
    </row>
    <row r="538" ht="12.75" customHeight="1" s="588">
      <c r="I538" s="16" t="n"/>
      <c r="J538" s="16" t="n"/>
    </row>
    <row r="539" ht="12.75" customHeight="1" s="588">
      <c r="I539" s="16" t="n"/>
      <c r="J539" s="16" t="n"/>
    </row>
    <row r="540" ht="12.75" customHeight="1" s="588">
      <c r="I540" s="16" t="n"/>
      <c r="J540" s="16" t="n"/>
    </row>
    <row r="541" ht="12.75" customHeight="1" s="588">
      <c r="I541" s="16" t="n"/>
      <c r="J541" s="16" t="n"/>
    </row>
    <row r="542" ht="12.75" customHeight="1" s="588">
      <c r="I542" s="16" t="n"/>
      <c r="J542" s="16" t="n"/>
    </row>
    <row r="543" ht="12.75" customHeight="1" s="588">
      <c r="I543" s="16" t="n"/>
      <c r="J543" s="16" t="n"/>
    </row>
    <row r="544" ht="12.75" customHeight="1" s="588">
      <c r="I544" s="16" t="n"/>
      <c r="J544" s="16" t="n"/>
    </row>
    <row r="545" ht="12.75" customHeight="1" s="588">
      <c r="I545" s="16" t="n"/>
      <c r="J545" s="16" t="n"/>
    </row>
    <row r="546" ht="12.75" customHeight="1" s="588">
      <c r="I546" s="16" t="n"/>
      <c r="J546" s="16" t="n"/>
    </row>
    <row r="547" ht="12.75" customHeight="1" s="588">
      <c r="I547" s="16" t="n"/>
      <c r="J547" s="16" t="n"/>
    </row>
    <row r="548" ht="12.75" customHeight="1" s="588">
      <c r="I548" s="16" t="n"/>
      <c r="J548" s="16" t="n"/>
    </row>
    <row r="549" ht="12.75" customHeight="1" s="588">
      <c r="I549" s="16" t="n"/>
      <c r="J549" s="16" t="n"/>
    </row>
    <row r="550" ht="12.75" customHeight="1" s="588">
      <c r="I550" s="16" t="n"/>
      <c r="J550" s="16" t="n"/>
    </row>
    <row r="551" ht="12.75" customHeight="1" s="588">
      <c r="I551" s="16" t="n"/>
      <c r="J551" s="16" t="n"/>
    </row>
    <row r="552" ht="12.75" customHeight="1" s="588">
      <c r="I552" s="16" t="n"/>
      <c r="J552" s="16" t="n"/>
    </row>
    <row r="553" ht="12.75" customHeight="1" s="588">
      <c r="I553" s="16" t="n"/>
      <c r="J553" s="16" t="n"/>
    </row>
    <row r="554" ht="12.75" customHeight="1" s="588">
      <c r="I554" s="16" t="n"/>
      <c r="J554" s="16" t="n"/>
    </row>
    <row r="555" ht="12.75" customHeight="1" s="588">
      <c r="I555" s="16" t="n"/>
      <c r="J555" s="16" t="n"/>
    </row>
    <row r="556" ht="12.75" customHeight="1" s="588">
      <c r="I556" s="16" t="n"/>
      <c r="J556" s="16" t="n"/>
    </row>
    <row r="557" ht="12.75" customHeight="1" s="588">
      <c r="I557" s="16" t="n"/>
      <c r="J557" s="16" t="n"/>
    </row>
    <row r="558" ht="12.75" customHeight="1" s="588">
      <c r="I558" s="16" t="n"/>
      <c r="J558" s="16" t="n"/>
    </row>
    <row r="559" ht="12.75" customHeight="1" s="588">
      <c r="I559" s="16" t="n"/>
      <c r="J559" s="16" t="n"/>
    </row>
    <row r="560" ht="12.75" customHeight="1" s="588">
      <c r="I560" s="16" t="n"/>
      <c r="J560" s="16" t="n"/>
    </row>
    <row r="561" ht="12.75" customHeight="1" s="588">
      <c r="I561" s="16" t="n"/>
      <c r="J561" s="16" t="n"/>
    </row>
    <row r="562" ht="12.75" customHeight="1" s="588">
      <c r="I562" s="16" t="n"/>
      <c r="J562" s="16" t="n"/>
    </row>
    <row r="563" ht="12.75" customHeight="1" s="588">
      <c r="I563" s="16" t="n"/>
      <c r="J563" s="16" t="n"/>
    </row>
    <row r="564" ht="12.75" customHeight="1" s="588">
      <c r="I564" s="16" t="n"/>
      <c r="J564" s="16" t="n"/>
    </row>
    <row r="565" ht="12.75" customHeight="1" s="588">
      <c r="I565" s="16" t="n"/>
      <c r="J565" s="16" t="n"/>
    </row>
    <row r="566" ht="12.75" customHeight="1" s="588">
      <c r="I566" s="16" t="n"/>
      <c r="J566" s="16" t="n"/>
    </row>
    <row r="567" ht="12.75" customHeight="1" s="588">
      <c r="I567" s="16" t="n"/>
      <c r="J567" s="16" t="n"/>
    </row>
    <row r="568" ht="12.75" customHeight="1" s="588">
      <c r="I568" s="16" t="n"/>
      <c r="J568" s="16" t="n"/>
    </row>
    <row r="569" ht="12.75" customHeight="1" s="588">
      <c r="I569" s="16" t="n"/>
      <c r="J569" s="16" t="n"/>
    </row>
    <row r="570" ht="12.75" customHeight="1" s="588">
      <c r="I570" s="16" t="n"/>
      <c r="J570" s="16" t="n"/>
    </row>
    <row r="571" ht="12.75" customHeight="1" s="588">
      <c r="I571" s="16" t="n"/>
      <c r="J571" s="16" t="n"/>
    </row>
    <row r="572" ht="12.75" customHeight="1" s="588">
      <c r="I572" s="16" t="n"/>
      <c r="J572" s="16" t="n"/>
    </row>
    <row r="573" ht="12.75" customHeight="1" s="588">
      <c r="I573" s="16" t="n"/>
      <c r="J573" s="16" t="n"/>
    </row>
    <row r="574" ht="12.75" customHeight="1" s="588">
      <c r="I574" s="16" t="n"/>
      <c r="J574" s="16" t="n"/>
    </row>
    <row r="575" ht="12.75" customHeight="1" s="588">
      <c r="I575" s="16" t="n"/>
      <c r="J575" s="16" t="n"/>
    </row>
    <row r="576" ht="12.75" customHeight="1" s="588">
      <c r="I576" s="16" t="n"/>
      <c r="J576" s="16" t="n"/>
    </row>
    <row r="577" ht="12.75" customHeight="1" s="588">
      <c r="I577" s="16" t="n"/>
      <c r="J577" s="16" t="n"/>
    </row>
    <row r="578" ht="12.75" customHeight="1" s="588">
      <c r="I578" s="16" t="n"/>
      <c r="J578" s="16" t="n"/>
    </row>
    <row r="579" ht="12.75" customHeight="1" s="588">
      <c r="I579" s="16" t="n"/>
      <c r="J579" s="16" t="n"/>
    </row>
    <row r="580" ht="12.75" customHeight="1" s="588">
      <c r="I580" s="16" t="n"/>
      <c r="J580" s="16" t="n"/>
    </row>
    <row r="581" ht="12.75" customHeight="1" s="588">
      <c r="I581" s="16" t="n"/>
      <c r="J581" s="16" t="n"/>
    </row>
    <row r="582" ht="12.75" customHeight="1" s="588">
      <c r="I582" s="16" t="n"/>
      <c r="J582" s="16" t="n"/>
    </row>
    <row r="583" ht="12.75" customHeight="1" s="588">
      <c r="I583" s="16" t="n"/>
      <c r="J583" s="16" t="n"/>
    </row>
    <row r="584" ht="12.75" customHeight="1" s="588">
      <c r="I584" s="16" t="n"/>
      <c r="J584" s="16" t="n"/>
    </row>
    <row r="585" ht="12.75" customHeight="1" s="588">
      <c r="I585" s="16" t="n"/>
      <c r="J585" s="16" t="n"/>
    </row>
    <row r="586" ht="12.75" customHeight="1" s="588">
      <c r="I586" s="16" t="n"/>
      <c r="J586" s="16" t="n"/>
    </row>
    <row r="587" ht="12.75" customHeight="1" s="588">
      <c r="I587" s="16" t="n"/>
      <c r="J587" s="16" t="n"/>
    </row>
    <row r="588" ht="12.75" customHeight="1" s="588">
      <c r="I588" s="16" t="n"/>
      <c r="J588" s="16" t="n"/>
    </row>
    <row r="589" ht="12.75" customHeight="1" s="588">
      <c r="I589" s="16" t="n"/>
      <c r="J589" s="16" t="n"/>
    </row>
    <row r="590" ht="12.75" customHeight="1" s="588">
      <c r="I590" s="16" t="n"/>
      <c r="J590" s="16" t="n"/>
    </row>
    <row r="591" ht="12.75" customHeight="1" s="588">
      <c r="I591" s="16" t="n"/>
      <c r="J591" s="16" t="n"/>
    </row>
    <row r="592" ht="12.75" customHeight="1" s="588">
      <c r="I592" s="16" t="n"/>
      <c r="J592" s="16" t="n"/>
    </row>
    <row r="593" ht="12.75" customHeight="1" s="588">
      <c r="I593" s="16" t="n"/>
      <c r="J593" s="16" t="n"/>
    </row>
    <row r="594" ht="12.75" customHeight="1" s="588">
      <c r="I594" s="16" t="n"/>
      <c r="J594" s="16" t="n"/>
    </row>
    <row r="595" ht="12.75" customHeight="1" s="588">
      <c r="I595" s="16" t="n"/>
      <c r="J595" s="16" t="n"/>
    </row>
    <row r="596" ht="12.75" customHeight="1" s="588">
      <c r="I596" s="16" t="n"/>
      <c r="J596" s="16" t="n"/>
    </row>
    <row r="597" ht="12.75" customHeight="1" s="588">
      <c r="I597" s="16" t="n"/>
      <c r="J597" s="16" t="n"/>
    </row>
    <row r="598" ht="12.75" customHeight="1" s="588">
      <c r="I598" s="16" t="n"/>
      <c r="J598" s="16" t="n"/>
    </row>
    <row r="599" ht="12.75" customHeight="1" s="588">
      <c r="I599" s="16" t="n"/>
      <c r="J599" s="16" t="n"/>
    </row>
    <row r="600" ht="12.75" customHeight="1" s="588">
      <c r="I600" s="16" t="n"/>
      <c r="J600" s="16" t="n"/>
    </row>
    <row r="601" ht="12.75" customHeight="1" s="588">
      <c r="I601" s="16" t="n"/>
      <c r="J601" s="16" t="n"/>
    </row>
    <row r="602" ht="12.75" customHeight="1" s="588">
      <c r="I602" s="16" t="n"/>
      <c r="J602" s="16" t="n"/>
    </row>
    <row r="603" ht="12.75" customHeight="1" s="588">
      <c r="I603" s="16" t="n"/>
      <c r="J603" s="16" t="n"/>
    </row>
    <row r="604" ht="12.75" customHeight="1" s="588">
      <c r="I604" s="16" t="n"/>
      <c r="J604" s="16" t="n"/>
    </row>
    <row r="605" ht="12.75" customHeight="1" s="588">
      <c r="I605" s="16" t="n"/>
      <c r="J605" s="16" t="n"/>
    </row>
    <row r="606" ht="12.75" customHeight="1" s="588">
      <c r="I606" s="16" t="n"/>
      <c r="J606" s="16" t="n"/>
    </row>
    <row r="607" ht="12.75" customHeight="1" s="588">
      <c r="I607" s="16" t="n"/>
      <c r="J607" s="16" t="n"/>
    </row>
    <row r="608" ht="12.75" customHeight="1" s="588">
      <c r="I608" s="16" t="n"/>
      <c r="J608" s="16" t="n"/>
    </row>
    <row r="609" ht="12.75" customHeight="1" s="588">
      <c r="I609" s="16" t="n"/>
      <c r="J609" s="16" t="n"/>
    </row>
    <row r="610" ht="12.75" customHeight="1" s="588">
      <c r="I610" s="16" t="n"/>
      <c r="J610" s="16" t="n"/>
    </row>
    <row r="611" ht="12.75" customHeight="1" s="588">
      <c r="I611" s="16" t="n"/>
      <c r="J611" s="16" t="n"/>
    </row>
    <row r="612" ht="12.75" customHeight="1" s="588">
      <c r="I612" s="16" t="n"/>
      <c r="J612" s="16" t="n"/>
    </row>
    <row r="613" ht="12.75" customHeight="1" s="588">
      <c r="I613" s="16" t="n"/>
      <c r="J613" s="16" t="n"/>
    </row>
    <row r="614" ht="12.75" customHeight="1" s="588">
      <c r="I614" s="16" t="n"/>
      <c r="J614" s="16" t="n"/>
    </row>
    <row r="615" ht="12.75" customHeight="1" s="588">
      <c r="I615" s="16" t="n"/>
      <c r="J615" s="16" t="n"/>
    </row>
    <row r="616" ht="12.75" customHeight="1" s="588">
      <c r="I616" s="16" t="n"/>
      <c r="J616" s="16" t="n"/>
    </row>
    <row r="617" ht="12.75" customHeight="1" s="588">
      <c r="I617" s="16" t="n"/>
      <c r="J617" s="16" t="n"/>
    </row>
    <row r="618" ht="12.75" customHeight="1" s="588">
      <c r="I618" s="16" t="n"/>
      <c r="J618" s="16" t="n"/>
    </row>
    <row r="619" ht="12.75" customHeight="1" s="588">
      <c r="I619" s="16" t="n"/>
      <c r="J619" s="16" t="n"/>
    </row>
    <row r="620" ht="12.75" customHeight="1" s="588">
      <c r="I620" s="16" t="n"/>
      <c r="J620" s="16" t="n"/>
    </row>
    <row r="621" ht="12.75" customHeight="1" s="588">
      <c r="I621" s="16" t="n"/>
      <c r="J621" s="16" t="n"/>
    </row>
    <row r="622" ht="12.75" customHeight="1" s="588">
      <c r="I622" s="16" t="n"/>
      <c r="J622" s="16" t="n"/>
    </row>
    <row r="623" ht="12.75" customHeight="1" s="588">
      <c r="I623" s="16" t="n"/>
      <c r="J623" s="16" t="n"/>
    </row>
    <row r="624" ht="12.75" customHeight="1" s="588">
      <c r="I624" s="16" t="n"/>
      <c r="J624" s="16" t="n"/>
    </row>
    <row r="625" ht="12.75" customHeight="1" s="588">
      <c r="I625" s="16" t="n"/>
      <c r="J625" s="16" t="n"/>
    </row>
    <row r="626" ht="12.75" customHeight="1" s="588">
      <c r="I626" s="16" t="n"/>
      <c r="J626" s="16" t="n"/>
    </row>
    <row r="627" ht="12.75" customHeight="1" s="588">
      <c r="I627" s="16" t="n"/>
      <c r="J627" s="16" t="n"/>
    </row>
    <row r="628" ht="12.75" customHeight="1" s="588">
      <c r="I628" s="16" t="n"/>
      <c r="J628" s="16" t="n"/>
    </row>
    <row r="629" ht="12.75" customHeight="1" s="588">
      <c r="I629" s="16" t="n"/>
      <c r="J629" s="16" t="n"/>
    </row>
    <row r="630" ht="12.75" customHeight="1" s="588">
      <c r="I630" s="16" t="n"/>
      <c r="J630" s="16" t="n"/>
    </row>
    <row r="631" ht="12.75" customHeight="1" s="588">
      <c r="I631" s="16" t="n"/>
      <c r="J631" s="16" t="n"/>
    </row>
    <row r="632" ht="12.75" customHeight="1" s="588">
      <c r="I632" s="16" t="n"/>
      <c r="J632" s="16" t="n"/>
    </row>
    <row r="633" ht="12.75" customHeight="1" s="588">
      <c r="I633" s="16" t="n"/>
      <c r="J633" s="16" t="n"/>
    </row>
    <row r="634" ht="12.75" customHeight="1" s="588">
      <c r="I634" s="16" t="n"/>
      <c r="J634" s="16" t="n"/>
    </row>
    <row r="635" ht="12.75" customHeight="1" s="588">
      <c r="I635" s="16" t="n"/>
      <c r="J635" s="16" t="n"/>
    </row>
    <row r="636" ht="12.75" customHeight="1" s="588">
      <c r="I636" s="16" t="n"/>
      <c r="J636" s="16" t="n"/>
    </row>
    <row r="637" ht="12.75" customHeight="1" s="588">
      <c r="I637" s="16" t="n"/>
      <c r="J637" s="16" t="n"/>
    </row>
    <row r="638" ht="12.75" customHeight="1" s="588">
      <c r="I638" s="16" t="n"/>
      <c r="J638" s="16" t="n"/>
    </row>
    <row r="639" ht="12.75" customHeight="1" s="588">
      <c r="I639" s="16" t="n"/>
      <c r="J639" s="16" t="n"/>
    </row>
    <row r="640" ht="12.75" customHeight="1" s="588">
      <c r="I640" s="16" t="n"/>
      <c r="J640" s="16" t="n"/>
    </row>
    <row r="641" ht="12.75" customHeight="1" s="588">
      <c r="I641" s="16" t="n"/>
      <c r="J641" s="16" t="n"/>
    </row>
    <row r="642" ht="12.75" customHeight="1" s="588">
      <c r="I642" s="16" t="n"/>
      <c r="J642" s="16" t="n"/>
    </row>
    <row r="643" ht="12.75" customHeight="1" s="588">
      <c r="I643" s="16" t="n"/>
      <c r="J643" s="16" t="n"/>
    </row>
    <row r="644" ht="12.75" customHeight="1" s="588">
      <c r="I644" s="16" t="n"/>
      <c r="J644" s="16" t="n"/>
    </row>
    <row r="645" ht="12.75" customHeight="1" s="588">
      <c r="I645" s="16" t="n"/>
      <c r="J645" s="16" t="n"/>
    </row>
    <row r="646" ht="12.75" customHeight="1" s="588">
      <c r="I646" s="16" t="n"/>
      <c r="J646" s="16" t="n"/>
    </row>
    <row r="647" ht="12.75" customHeight="1" s="588">
      <c r="I647" s="16" t="n"/>
      <c r="J647" s="16" t="n"/>
    </row>
    <row r="648" ht="12.75" customHeight="1" s="588">
      <c r="I648" s="16" t="n"/>
      <c r="J648" s="16" t="n"/>
    </row>
    <row r="649" ht="12.75" customHeight="1" s="588">
      <c r="I649" s="16" t="n"/>
      <c r="J649" s="16" t="n"/>
    </row>
    <row r="650" ht="12.75" customHeight="1" s="588">
      <c r="I650" s="16" t="n"/>
      <c r="J650" s="16" t="n"/>
    </row>
    <row r="651" ht="12.75" customHeight="1" s="588">
      <c r="I651" s="16" t="n"/>
      <c r="J651" s="16" t="n"/>
    </row>
    <row r="652" ht="12.75" customHeight="1" s="588">
      <c r="I652" s="16" t="n"/>
      <c r="J652" s="16" t="n"/>
    </row>
    <row r="653" ht="12.75" customHeight="1" s="588">
      <c r="I653" s="16" t="n"/>
      <c r="J653" s="16" t="n"/>
    </row>
    <row r="654" ht="12.75" customHeight="1" s="588">
      <c r="I654" s="16" t="n"/>
      <c r="J654" s="16" t="n"/>
    </row>
    <row r="655" ht="12.75" customHeight="1" s="588">
      <c r="I655" s="16" t="n"/>
      <c r="J655" s="16" t="n"/>
    </row>
    <row r="656" ht="12.75" customHeight="1" s="588">
      <c r="I656" s="16" t="n"/>
      <c r="J656" s="16" t="n"/>
    </row>
    <row r="657" ht="12.75" customHeight="1" s="588">
      <c r="I657" s="16" t="n"/>
      <c r="J657" s="16" t="n"/>
    </row>
    <row r="658" ht="12.75" customHeight="1" s="588">
      <c r="I658" s="16" t="n"/>
      <c r="J658" s="16" t="n"/>
    </row>
    <row r="659" ht="12.75" customHeight="1" s="588">
      <c r="I659" s="16" t="n"/>
      <c r="J659" s="16" t="n"/>
    </row>
    <row r="660" ht="12.75" customHeight="1" s="588">
      <c r="I660" s="16" t="n"/>
      <c r="J660" s="16" t="n"/>
    </row>
    <row r="661" ht="12.75" customHeight="1" s="588">
      <c r="I661" s="16" t="n"/>
      <c r="J661" s="16" t="n"/>
    </row>
    <row r="662" ht="12.75" customHeight="1" s="588">
      <c r="I662" s="16" t="n"/>
      <c r="J662" s="16" t="n"/>
    </row>
    <row r="663" ht="12.75" customHeight="1" s="588">
      <c r="I663" s="16" t="n"/>
      <c r="J663" s="16" t="n"/>
    </row>
    <row r="664" ht="12.75" customHeight="1" s="588">
      <c r="I664" s="16" t="n"/>
      <c r="J664" s="16" t="n"/>
    </row>
    <row r="665" ht="12.75" customHeight="1" s="588">
      <c r="I665" s="16" t="n"/>
      <c r="J665" s="16" t="n"/>
    </row>
    <row r="666" ht="12.75" customHeight="1" s="588">
      <c r="I666" s="16" t="n"/>
      <c r="J666" s="16" t="n"/>
    </row>
    <row r="667" ht="12.75" customHeight="1" s="588">
      <c r="I667" s="16" t="n"/>
      <c r="J667" s="16" t="n"/>
    </row>
    <row r="668" ht="12.75" customHeight="1" s="588">
      <c r="I668" s="16" t="n"/>
      <c r="J668" s="16" t="n"/>
    </row>
    <row r="669" ht="12.75" customHeight="1" s="588">
      <c r="I669" s="16" t="n"/>
      <c r="J669" s="16" t="n"/>
    </row>
    <row r="670" ht="12.75" customHeight="1" s="588">
      <c r="I670" s="16" t="n"/>
      <c r="J670" s="16" t="n"/>
    </row>
    <row r="671" ht="12.75" customHeight="1" s="588">
      <c r="I671" s="16" t="n"/>
      <c r="J671" s="16" t="n"/>
    </row>
    <row r="672" ht="12.75" customHeight="1" s="588">
      <c r="I672" s="16" t="n"/>
      <c r="J672" s="16" t="n"/>
    </row>
    <row r="673" ht="12.75" customHeight="1" s="588">
      <c r="I673" s="16" t="n"/>
      <c r="J673" s="16" t="n"/>
    </row>
    <row r="674" ht="12.75" customHeight="1" s="588">
      <c r="I674" s="16" t="n"/>
      <c r="J674" s="16" t="n"/>
    </row>
    <row r="675" ht="12.75" customHeight="1" s="588">
      <c r="I675" s="16" t="n"/>
      <c r="J675" s="16" t="n"/>
    </row>
    <row r="676" ht="12.75" customHeight="1" s="588">
      <c r="I676" s="16" t="n"/>
      <c r="J676" s="16" t="n"/>
    </row>
    <row r="677" ht="12.75" customHeight="1" s="588">
      <c r="I677" s="16" t="n"/>
      <c r="J677" s="16" t="n"/>
    </row>
    <row r="678" ht="12.75" customHeight="1" s="588">
      <c r="I678" s="16" t="n"/>
      <c r="J678" s="16" t="n"/>
    </row>
    <row r="679" ht="12.75" customHeight="1" s="588">
      <c r="I679" s="16" t="n"/>
      <c r="J679" s="16" t="n"/>
    </row>
    <row r="680" ht="12.75" customHeight="1" s="588">
      <c r="I680" s="16" t="n"/>
      <c r="J680" s="16" t="n"/>
    </row>
    <row r="681" ht="12.75" customHeight="1" s="588">
      <c r="I681" s="16" t="n"/>
      <c r="J681" s="16" t="n"/>
    </row>
    <row r="682" ht="12.75" customHeight="1" s="588">
      <c r="I682" s="16" t="n"/>
      <c r="J682" s="16" t="n"/>
    </row>
    <row r="683" ht="12.75" customHeight="1" s="588">
      <c r="I683" s="16" t="n"/>
      <c r="J683" s="16" t="n"/>
    </row>
    <row r="684" ht="12.75" customHeight="1" s="588">
      <c r="I684" s="16" t="n"/>
      <c r="J684" s="16" t="n"/>
    </row>
    <row r="685" ht="12.75" customHeight="1" s="588">
      <c r="I685" s="16" t="n"/>
      <c r="J685" s="16" t="n"/>
    </row>
    <row r="686" ht="12.75" customHeight="1" s="588">
      <c r="I686" s="16" t="n"/>
      <c r="J686" s="16" t="n"/>
    </row>
    <row r="687" ht="12.75" customHeight="1" s="588">
      <c r="I687" s="16" t="n"/>
      <c r="J687" s="16" t="n"/>
    </row>
    <row r="688" ht="12.75" customHeight="1" s="588">
      <c r="I688" s="16" t="n"/>
      <c r="J688" s="16" t="n"/>
    </row>
    <row r="689" ht="12.75" customHeight="1" s="588">
      <c r="I689" s="16" t="n"/>
      <c r="J689" s="16" t="n"/>
    </row>
    <row r="690" ht="12.75" customHeight="1" s="588">
      <c r="I690" s="16" t="n"/>
      <c r="J690" s="16" t="n"/>
    </row>
    <row r="691" ht="12.75" customHeight="1" s="588">
      <c r="I691" s="16" t="n"/>
      <c r="J691" s="16" t="n"/>
    </row>
    <row r="692" ht="12.75" customHeight="1" s="588">
      <c r="I692" s="16" t="n"/>
      <c r="J692" s="16" t="n"/>
    </row>
    <row r="693" ht="12.75" customHeight="1" s="588">
      <c r="I693" s="16" t="n"/>
      <c r="J693" s="16" t="n"/>
    </row>
    <row r="694" ht="12.75" customHeight="1" s="588">
      <c r="I694" s="16" t="n"/>
      <c r="J694" s="16" t="n"/>
    </row>
    <row r="695" ht="12.75" customHeight="1" s="588">
      <c r="I695" s="16" t="n"/>
      <c r="J695" s="16" t="n"/>
    </row>
    <row r="696" ht="12.75" customHeight="1" s="588">
      <c r="I696" s="16" t="n"/>
      <c r="J696" s="16" t="n"/>
    </row>
    <row r="697" ht="12.75" customHeight="1" s="588">
      <c r="I697" s="16" t="n"/>
      <c r="J697" s="16" t="n"/>
    </row>
    <row r="698" ht="12.75" customHeight="1" s="588">
      <c r="I698" s="16" t="n"/>
      <c r="J698" s="16" t="n"/>
    </row>
    <row r="699" ht="12.75" customHeight="1" s="588">
      <c r="I699" s="16" t="n"/>
      <c r="J699" s="16" t="n"/>
    </row>
    <row r="700" ht="12.75" customHeight="1" s="588">
      <c r="I700" s="16" t="n"/>
      <c r="J700" s="16" t="n"/>
    </row>
    <row r="701" ht="12.75" customHeight="1" s="588">
      <c r="I701" s="16" t="n"/>
      <c r="J701" s="16" t="n"/>
    </row>
    <row r="702" ht="12.75" customHeight="1" s="588">
      <c r="I702" s="16" t="n"/>
      <c r="J702" s="16" t="n"/>
    </row>
    <row r="703" ht="12.75" customHeight="1" s="588">
      <c r="I703" s="16" t="n"/>
      <c r="J703" s="16" t="n"/>
    </row>
    <row r="704" ht="12.75" customHeight="1" s="588">
      <c r="I704" s="16" t="n"/>
      <c r="J704" s="16" t="n"/>
    </row>
    <row r="705" ht="12.75" customHeight="1" s="588">
      <c r="I705" s="16" t="n"/>
      <c r="J705" s="16" t="n"/>
    </row>
    <row r="706" ht="12.75" customHeight="1" s="588">
      <c r="I706" s="16" t="n"/>
      <c r="J706" s="16" t="n"/>
    </row>
    <row r="707" ht="12.75" customHeight="1" s="588">
      <c r="I707" s="16" t="n"/>
      <c r="J707" s="16" t="n"/>
    </row>
    <row r="708" ht="12.75" customHeight="1" s="588">
      <c r="I708" s="16" t="n"/>
      <c r="J708" s="16" t="n"/>
    </row>
    <row r="709" ht="12.75" customHeight="1" s="588">
      <c r="I709" s="16" t="n"/>
      <c r="J709" s="16" t="n"/>
    </row>
    <row r="710" ht="12.75" customHeight="1" s="588">
      <c r="I710" s="16" t="n"/>
      <c r="J710" s="16" t="n"/>
    </row>
    <row r="711" ht="12.75" customHeight="1" s="588">
      <c r="I711" s="16" t="n"/>
      <c r="J711" s="16" t="n"/>
    </row>
    <row r="712" ht="12.75" customHeight="1" s="588">
      <c r="I712" s="16" t="n"/>
      <c r="J712" s="16" t="n"/>
    </row>
    <row r="713" ht="12.75" customHeight="1" s="588">
      <c r="I713" s="16" t="n"/>
      <c r="J713" s="16" t="n"/>
    </row>
    <row r="714" ht="12.75" customHeight="1" s="588">
      <c r="I714" s="16" t="n"/>
      <c r="J714" s="16" t="n"/>
    </row>
    <row r="715" ht="12.75" customHeight="1" s="588">
      <c r="I715" s="16" t="n"/>
      <c r="J715" s="16" t="n"/>
    </row>
    <row r="716" ht="12.75" customHeight="1" s="588">
      <c r="I716" s="16" t="n"/>
      <c r="J716" s="16" t="n"/>
    </row>
    <row r="717" ht="12.75" customHeight="1" s="588">
      <c r="I717" s="16" t="n"/>
      <c r="J717" s="16" t="n"/>
    </row>
    <row r="718" ht="12.75" customHeight="1" s="588">
      <c r="I718" s="16" t="n"/>
      <c r="J718" s="16" t="n"/>
    </row>
    <row r="719" ht="12.75" customHeight="1" s="588">
      <c r="I719" s="16" t="n"/>
      <c r="J719" s="16" t="n"/>
    </row>
    <row r="720" ht="12.75" customHeight="1" s="588">
      <c r="I720" s="16" t="n"/>
      <c r="J720" s="16" t="n"/>
    </row>
    <row r="721" ht="12.75" customHeight="1" s="588">
      <c r="I721" s="16" t="n"/>
      <c r="J721" s="16" t="n"/>
    </row>
    <row r="722" ht="12.75" customHeight="1" s="588">
      <c r="I722" s="16" t="n"/>
      <c r="J722" s="16" t="n"/>
    </row>
    <row r="723" ht="12.75" customHeight="1" s="588">
      <c r="I723" s="16" t="n"/>
      <c r="J723" s="16" t="n"/>
    </row>
    <row r="724" ht="12.75" customHeight="1" s="588">
      <c r="I724" s="16" t="n"/>
      <c r="J724" s="16" t="n"/>
    </row>
    <row r="725" ht="12.75" customHeight="1" s="588">
      <c r="I725" s="16" t="n"/>
      <c r="J725" s="16" t="n"/>
    </row>
    <row r="726" ht="12.75" customHeight="1" s="588">
      <c r="I726" s="16" t="n"/>
      <c r="J726" s="16" t="n"/>
    </row>
    <row r="727" ht="12.75" customHeight="1" s="588">
      <c r="I727" s="16" t="n"/>
      <c r="J727" s="16" t="n"/>
    </row>
    <row r="728" ht="12.75" customHeight="1" s="588">
      <c r="I728" s="16" t="n"/>
      <c r="J728" s="16" t="n"/>
    </row>
    <row r="729" ht="12.75" customHeight="1" s="588">
      <c r="I729" s="16" t="n"/>
      <c r="J729" s="16" t="n"/>
    </row>
    <row r="730" ht="12.75" customHeight="1" s="588">
      <c r="I730" s="16" t="n"/>
      <c r="J730" s="16" t="n"/>
    </row>
    <row r="731" ht="12.75" customHeight="1" s="588">
      <c r="I731" s="16" t="n"/>
      <c r="J731" s="16" t="n"/>
    </row>
    <row r="732" ht="12.75" customHeight="1" s="588">
      <c r="I732" s="16" t="n"/>
      <c r="J732" s="16" t="n"/>
    </row>
    <row r="733" ht="12.75" customHeight="1" s="588">
      <c r="I733" s="16" t="n"/>
      <c r="J733" s="16" t="n"/>
    </row>
    <row r="734" ht="12.75" customHeight="1" s="588">
      <c r="I734" s="16" t="n"/>
      <c r="J734" s="16" t="n"/>
    </row>
    <row r="735" ht="12.75" customHeight="1" s="588">
      <c r="I735" s="16" t="n"/>
      <c r="J735" s="16" t="n"/>
    </row>
    <row r="736" ht="12.75" customHeight="1" s="588">
      <c r="I736" s="16" t="n"/>
      <c r="J736" s="16" t="n"/>
    </row>
    <row r="737" ht="12.75" customHeight="1" s="588">
      <c r="I737" s="16" t="n"/>
      <c r="J737" s="16" t="n"/>
    </row>
    <row r="738" ht="12.75" customHeight="1" s="588">
      <c r="I738" s="16" t="n"/>
      <c r="J738" s="16" t="n"/>
    </row>
    <row r="739" ht="12.75" customHeight="1" s="588">
      <c r="I739" s="16" t="n"/>
      <c r="J739" s="16" t="n"/>
    </row>
    <row r="740" ht="12.75" customHeight="1" s="588">
      <c r="I740" s="16" t="n"/>
      <c r="J740" s="16" t="n"/>
    </row>
    <row r="741" ht="12.75" customHeight="1" s="588">
      <c r="I741" s="16" t="n"/>
      <c r="J741" s="16" t="n"/>
    </row>
    <row r="742" ht="12.75" customHeight="1" s="588">
      <c r="I742" s="16" t="n"/>
      <c r="J742" s="16" t="n"/>
    </row>
    <row r="743" ht="12.75" customHeight="1" s="588">
      <c r="I743" s="16" t="n"/>
      <c r="J743" s="16" t="n"/>
    </row>
    <row r="744" ht="12.75" customHeight="1" s="588">
      <c r="I744" s="16" t="n"/>
      <c r="J744" s="16" t="n"/>
    </row>
    <row r="745" ht="12.75" customHeight="1" s="588">
      <c r="I745" s="16" t="n"/>
      <c r="J745" s="16" t="n"/>
    </row>
    <row r="746" ht="12.75" customHeight="1" s="588">
      <c r="I746" s="16" t="n"/>
      <c r="J746" s="16" t="n"/>
    </row>
    <row r="747" ht="12.75" customHeight="1" s="588">
      <c r="I747" s="16" t="n"/>
      <c r="J747" s="16" t="n"/>
    </row>
    <row r="748" ht="12.75" customHeight="1" s="588">
      <c r="I748" s="16" t="n"/>
      <c r="J748" s="16" t="n"/>
    </row>
    <row r="749" ht="12.75" customHeight="1" s="588">
      <c r="I749" s="16" t="n"/>
      <c r="J749" s="16" t="n"/>
    </row>
    <row r="750" ht="12.75" customHeight="1" s="588">
      <c r="I750" s="16" t="n"/>
      <c r="J750" s="16" t="n"/>
    </row>
    <row r="751" ht="12.75" customHeight="1" s="588">
      <c r="I751" s="16" t="n"/>
      <c r="J751" s="16" t="n"/>
    </row>
    <row r="752" ht="12.75" customHeight="1" s="588">
      <c r="I752" s="16" t="n"/>
      <c r="J752" s="16" t="n"/>
    </row>
    <row r="753" ht="12.75" customHeight="1" s="588">
      <c r="I753" s="16" t="n"/>
      <c r="J753" s="16" t="n"/>
    </row>
    <row r="754" ht="12.75" customHeight="1" s="588">
      <c r="I754" s="16" t="n"/>
      <c r="J754" s="16" t="n"/>
    </row>
    <row r="755" ht="12.75" customHeight="1" s="588">
      <c r="I755" s="16" t="n"/>
      <c r="J755" s="16" t="n"/>
    </row>
    <row r="756" ht="12.75" customHeight="1" s="588">
      <c r="I756" s="16" t="n"/>
      <c r="J756" s="16" t="n"/>
    </row>
    <row r="757" ht="12.75" customHeight="1" s="588">
      <c r="I757" s="16" t="n"/>
      <c r="J757" s="16" t="n"/>
    </row>
    <row r="758" ht="12.75" customHeight="1" s="588">
      <c r="I758" s="16" t="n"/>
      <c r="J758" s="16" t="n"/>
    </row>
    <row r="759" ht="12.75" customHeight="1" s="588">
      <c r="I759" s="16" t="n"/>
      <c r="J759" s="16" t="n"/>
    </row>
    <row r="760" ht="12.75" customHeight="1" s="588">
      <c r="I760" s="16" t="n"/>
      <c r="J760" s="16" t="n"/>
    </row>
    <row r="761" ht="12.75" customHeight="1" s="588">
      <c r="I761" s="16" t="n"/>
      <c r="J761" s="16" t="n"/>
    </row>
    <row r="762" ht="12.75" customHeight="1" s="588">
      <c r="I762" s="16" t="n"/>
      <c r="J762" s="16" t="n"/>
    </row>
    <row r="763" ht="12.75" customHeight="1" s="588">
      <c r="I763" s="16" t="n"/>
      <c r="J763" s="16" t="n"/>
    </row>
    <row r="764" ht="12.75" customHeight="1" s="588">
      <c r="I764" s="16" t="n"/>
      <c r="J764" s="16" t="n"/>
    </row>
    <row r="765" ht="12.75" customHeight="1" s="588">
      <c r="I765" s="16" t="n"/>
      <c r="J765" s="16" t="n"/>
    </row>
    <row r="766" ht="12.75" customHeight="1" s="588">
      <c r="I766" s="16" t="n"/>
      <c r="J766" s="16" t="n"/>
    </row>
    <row r="767" ht="12.75" customHeight="1" s="588">
      <c r="I767" s="16" t="n"/>
      <c r="J767" s="16" t="n"/>
    </row>
    <row r="768" ht="12.75" customHeight="1" s="588">
      <c r="I768" s="16" t="n"/>
      <c r="J768" s="16" t="n"/>
    </row>
    <row r="769" ht="12.75" customHeight="1" s="588">
      <c r="I769" s="16" t="n"/>
      <c r="J769" s="16" t="n"/>
    </row>
    <row r="770" ht="12.75" customHeight="1" s="588">
      <c r="I770" s="16" t="n"/>
      <c r="J770" s="16" t="n"/>
    </row>
    <row r="771" ht="12.75" customHeight="1" s="588">
      <c r="I771" s="16" t="n"/>
      <c r="J771" s="16" t="n"/>
    </row>
    <row r="772" ht="12.75" customHeight="1" s="588">
      <c r="I772" s="16" t="n"/>
      <c r="J772" s="16" t="n"/>
    </row>
    <row r="773" ht="12.75" customHeight="1" s="588">
      <c r="I773" s="16" t="n"/>
      <c r="J773" s="16" t="n"/>
    </row>
    <row r="774" ht="12.75" customHeight="1" s="588">
      <c r="I774" s="16" t="n"/>
      <c r="J774" s="16" t="n"/>
    </row>
    <row r="775" ht="12.75" customHeight="1" s="588">
      <c r="I775" s="16" t="n"/>
      <c r="J775" s="16" t="n"/>
    </row>
    <row r="776" ht="12.75" customHeight="1" s="588">
      <c r="I776" s="16" t="n"/>
      <c r="J776" s="16" t="n"/>
    </row>
    <row r="777" ht="12.75" customHeight="1" s="588">
      <c r="I777" s="16" t="n"/>
      <c r="J777" s="16" t="n"/>
    </row>
    <row r="778" ht="12.75" customHeight="1" s="588">
      <c r="I778" s="16" t="n"/>
      <c r="J778" s="16" t="n"/>
    </row>
    <row r="779" ht="12.75" customHeight="1" s="588">
      <c r="I779" s="16" t="n"/>
      <c r="J779" s="16" t="n"/>
    </row>
    <row r="780" ht="12.75" customHeight="1" s="588">
      <c r="I780" s="16" t="n"/>
      <c r="J780" s="16" t="n"/>
    </row>
    <row r="781" ht="12.75" customHeight="1" s="588">
      <c r="I781" s="16" t="n"/>
      <c r="J781" s="16" t="n"/>
    </row>
    <row r="782" ht="12.75" customHeight="1" s="588">
      <c r="I782" s="16" t="n"/>
      <c r="J782" s="16" t="n"/>
    </row>
    <row r="783" ht="12.75" customHeight="1" s="588">
      <c r="I783" s="16" t="n"/>
      <c r="J783" s="16" t="n"/>
    </row>
    <row r="784" ht="12.75" customHeight="1" s="588">
      <c r="I784" s="16" t="n"/>
      <c r="J784" s="16" t="n"/>
    </row>
    <row r="785" ht="12.75" customHeight="1" s="588">
      <c r="I785" s="16" t="n"/>
      <c r="J785" s="16" t="n"/>
    </row>
    <row r="786" ht="12.75" customHeight="1" s="588">
      <c r="I786" s="16" t="n"/>
      <c r="J786" s="16" t="n"/>
    </row>
    <row r="787" ht="12.75" customHeight="1" s="588">
      <c r="I787" s="16" t="n"/>
      <c r="J787" s="16" t="n"/>
    </row>
    <row r="788" ht="12.75" customHeight="1" s="588">
      <c r="I788" s="16" t="n"/>
      <c r="J788" s="16" t="n"/>
    </row>
    <row r="789" ht="12.75" customHeight="1" s="588">
      <c r="I789" s="16" t="n"/>
      <c r="J789" s="16" t="n"/>
    </row>
    <row r="790" ht="12.75" customHeight="1" s="588">
      <c r="I790" s="16" t="n"/>
      <c r="J790" s="16" t="n"/>
    </row>
    <row r="791" ht="12.75" customHeight="1" s="588">
      <c r="I791" s="16" t="n"/>
      <c r="J791" s="16" t="n"/>
    </row>
    <row r="792" ht="12.75" customHeight="1" s="588">
      <c r="I792" s="16" t="n"/>
      <c r="J792" s="16" t="n"/>
    </row>
    <row r="793" ht="12.75" customHeight="1" s="588">
      <c r="I793" s="16" t="n"/>
      <c r="J793" s="16" t="n"/>
    </row>
    <row r="794" ht="12.75" customHeight="1" s="588">
      <c r="I794" s="16" t="n"/>
      <c r="J794" s="16" t="n"/>
    </row>
    <row r="795" ht="12.75" customHeight="1" s="588">
      <c r="I795" s="16" t="n"/>
      <c r="J795" s="16" t="n"/>
    </row>
    <row r="796" ht="12.75" customHeight="1" s="588">
      <c r="I796" s="16" t="n"/>
      <c r="J796" s="16" t="n"/>
    </row>
    <row r="797" ht="12.75" customHeight="1" s="588">
      <c r="I797" s="16" t="n"/>
      <c r="J797" s="16" t="n"/>
    </row>
    <row r="798" ht="12.75" customHeight="1" s="588">
      <c r="I798" s="16" t="n"/>
      <c r="J798" s="16" t="n"/>
    </row>
    <row r="799" ht="12.75" customHeight="1" s="588">
      <c r="I799" s="16" t="n"/>
      <c r="J799" s="16" t="n"/>
    </row>
    <row r="800" ht="12.75" customHeight="1" s="588">
      <c r="I800" s="16" t="n"/>
      <c r="J800" s="16" t="n"/>
    </row>
    <row r="801" ht="12.75" customHeight="1" s="588">
      <c r="I801" s="16" t="n"/>
      <c r="J801" s="16" t="n"/>
    </row>
    <row r="802" ht="12.75" customHeight="1" s="588">
      <c r="I802" s="16" t="n"/>
      <c r="J802" s="16" t="n"/>
    </row>
    <row r="803" ht="12.75" customHeight="1" s="588">
      <c r="I803" s="16" t="n"/>
      <c r="J803" s="16" t="n"/>
    </row>
    <row r="804" ht="12.75" customHeight="1" s="588">
      <c r="I804" s="16" t="n"/>
      <c r="J804" s="16" t="n"/>
    </row>
    <row r="805" ht="12.75" customHeight="1" s="588">
      <c r="I805" s="16" t="n"/>
      <c r="J805" s="16" t="n"/>
    </row>
    <row r="806" ht="12.75" customHeight="1" s="588">
      <c r="I806" s="16" t="n"/>
      <c r="J806" s="16" t="n"/>
    </row>
    <row r="807" ht="12.75" customHeight="1" s="588">
      <c r="I807" s="16" t="n"/>
      <c r="J807" s="16" t="n"/>
    </row>
    <row r="808" ht="12.75" customHeight="1" s="588">
      <c r="I808" s="16" t="n"/>
      <c r="J808" s="16" t="n"/>
    </row>
    <row r="809" ht="12.75" customHeight="1" s="588">
      <c r="I809" s="16" t="n"/>
      <c r="J809" s="16" t="n"/>
    </row>
    <row r="810" ht="12.75" customHeight="1" s="588">
      <c r="I810" s="16" t="n"/>
      <c r="J810" s="16" t="n"/>
    </row>
    <row r="811" ht="12.75" customHeight="1" s="588">
      <c r="I811" s="16" t="n"/>
      <c r="J811" s="16" t="n"/>
    </row>
    <row r="812" ht="12.75" customHeight="1" s="588">
      <c r="I812" s="16" t="n"/>
      <c r="J812" s="16" t="n"/>
    </row>
    <row r="813" ht="12.75" customHeight="1" s="588">
      <c r="I813" s="16" t="n"/>
      <c r="J813" s="16" t="n"/>
    </row>
    <row r="814" ht="12.75" customHeight="1" s="588">
      <c r="I814" s="16" t="n"/>
      <c r="J814" s="16" t="n"/>
    </row>
    <row r="815" ht="12.75" customHeight="1" s="588">
      <c r="I815" s="16" t="n"/>
      <c r="J815" s="16" t="n"/>
    </row>
    <row r="816" ht="12.75" customHeight="1" s="588">
      <c r="I816" s="16" t="n"/>
      <c r="J816" s="16" t="n"/>
    </row>
    <row r="817" ht="12.75" customHeight="1" s="588">
      <c r="I817" s="16" t="n"/>
      <c r="J817" s="16" t="n"/>
    </row>
    <row r="818" ht="12.75" customHeight="1" s="588">
      <c r="I818" s="16" t="n"/>
      <c r="J818" s="16" t="n"/>
    </row>
    <row r="819" ht="12.75" customHeight="1" s="588">
      <c r="I819" s="16" t="n"/>
      <c r="J819" s="16" t="n"/>
    </row>
    <row r="820" ht="12.75" customHeight="1" s="588">
      <c r="I820" s="16" t="n"/>
      <c r="J820" s="16" t="n"/>
    </row>
    <row r="821" ht="12.75" customHeight="1" s="588">
      <c r="I821" s="16" t="n"/>
      <c r="J821" s="16" t="n"/>
    </row>
    <row r="822" ht="12.75" customHeight="1" s="588">
      <c r="I822" s="16" t="n"/>
      <c r="J822" s="16" t="n"/>
    </row>
    <row r="823" ht="12.75" customHeight="1" s="588">
      <c r="I823" s="16" t="n"/>
      <c r="J823" s="16" t="n"/>
    </row>
    <row r="824" ht="12.75" customHeight="1" s="588">
      <c r="I824" s="16" t="n"/>
      <c r="J824" s="16" t="n"/>
    </row>
    <row r="825" ht="12.75" customHeight="1" s="588">
      <c r="I825" s="16" t="n"/>
      <c r="J825" s="16" t="n"/>
    </row>
    <row r="826" ht="12.75" customHeight="1" s="588">
      <c r="I826" s="16" t="n"/>
      <c r="J826" s="16" t="n"/>
    </row>
    <row r="827" ht="12.75" customHeight="1" s="588">
      <c r="I827" s="16" t="n"/>
      <c r="J827" s="16" t="n"/>
    </row>
    <row r="828" ht="12.75" customHeight="1" s="588">
      <c r="I828" s="16" t="n"/>
      <c r="J828" s="16" t="n"/>
    </row>
    <row r="829" ht="12.75" customHeight="1" s="588">
      <c r="I829" s="16" t="n"/>
      <c r="J829" s="16" t="n"/>
    </row>
    <row r="830" ht="12.75" customHeight="1" s="588">
      <c r="I830" s="16" t="n"/>
      <c r="J830" s="16" t="n"/>
    </row>
    <row r="831" ht="12.75" customHeight="1" s="588">
      <c r="I831" s="16" t="n"/>
      <c r="J831" s="16" t="n"/>
    </row>
    <row r="832" ht="12.75" customHeight="1" s="588">
      <c r="I832" s="16" t="n"/>
      <c r="J832" s="16" t="n"/>
    </row>
    <row r="833" ht="12.75" customHeight="1" s="588">
      <c r="I833" s="16" t="n"/>
      <c r="J833" s="16" t="n"/>
    </row>
    <row r="834" ht="12.75" customHeight="1" s="588">
      <c r="I834" s="16" t="n"/>
      <c r="J834" s="16" t="n"/>
    </row>
    <row r="835" ht="12.75" customHeight="1" s="588">
      <c r="I835" s="16" t="n"/>
      <c r="J835" s="16" t="n"/>
    </row>
    <row r="836" ht="12.75" customHeight="1" s="588">
      <c r="I836" s="16" t="n"/>
      <c r="J836" s="16" t="n"/>
    </row>
    <row r="837" ht="12.75" customHeight="1" s="588">
      <c r="I837" s="16" t="n"/>
      <c r="J837" s="16" t="n"/>
    </row>
    <row r="838" ht="12.75" customHeight="1" s="588">
      <c r="I838" s="16" t="n"/>
      <c r="J838" s="16" t="n"/>
    </row>
    <row r="839" ht="12.75" customHeight="1" s="588">
      <c r="I839" s="16" t="n"/>
      <c r="J839" s="16" t="n"/>
    </row>
    <row r="840" ht="12.75" customHeight="1" s="588">
      <c r="I840" s="16" t="n"/>
      <c r="J840" s="16" t="n"/>
    </row>
    <row r="841" ht="12.75" customHeight="1" s="588">
      <c r="I841" s="16" t="n"/>
      <c r="J841" s="16" t="n"/>
    </row>
    <row r="842" ht="12.75" customHeight="1" s="588">
      <c r="I842" s="16" t="n"/>
      <c r="J842" s="16" t="n"/>
    </row>
    <row r="843" ht="12.75" customHeight="1" s="588">
      <c r="I843" s="16" t="n"/>
      <c r="J843" s="16" t="n"/>
    </row>
    <row r="844" ht="12.75" customHeight="1" s="588">
      <c r="I844" s="16" t="n"/>
      <c r="J844" s="16" t="n"/>
    </row>
    <row r="845" ht="12.75" customHeight="1" s="588">
      <c r="I845" s="16" t="n"/>
      <c r="J845" s="16" t="n"/>
    </row>
    <row r="846" ht="12.75" customHeight="1" s="588">
      <c r="I846" s="16" t="n"/>
      <c r="J846" s="16" t="n"/>
    </row>
    <row r="847" ht="12.75" customHeight="1" s="588">
      <c r="I847" s="16" t="n"/>
      <c r="J847" s="16" t="n"/>
    </row>
    <row r="848" ht="12.75" customHeight="1" s="588">
      <c r="I848" s="16" t="n"/>
      <c r="J848" s="16" t="n"/>
    </row>
    <row r="849" ht="12.75" customHeight="1" s="588">
      <c r="I849" s="16" t="n"/>
      <c r="J849" s="16" t="n"/>
    </row>
    <row r="850" ht="12.75" customHeight="1" s="588">
      <c r="I850" s="16" t="n"/>
      <c r="J850" s="16" t="n"/>
    </row>
    <row r="851" ht="12.75" customHeight="1" s="588">
      <c r="I851" s="16" t="n"/>
      <c r="J851" s="16" t="n"/>
    </row>
    <row r="852" ht="12.75" customHeight="1" s="588">
      <c r="I852" s="16" t="n"/>
      <c r="J852" s="16" t="n"/>
    </row>
    <row r="853" ht="12.75" customHeight="1" s="588">
      <c r="I853" s="16" t="n"/>
      <c r="J853" s="16" t="n"/>
    </row>
    <row r="854" ht="12.75" customHeight="1" s="588">
      <c r="I854" s="16" t="n"/>
      <c r="J854" s="16" t="n"/>
    </row>
    <row r="855" ht="12.75" customHeight="1" s="588">
      <c r="I855" s="16" t="n"/>
      <c r="J855" s="16" t="n"/>
    </row>
    <row r="856" ht="12.75" customHeight="1" s="588">
      <c r="I856" s="16" t="n"/>
      <c r="J856" s="16" t="n"/>
    </row>
    <row r="857" ht="12.75" customHeight="1" s="588">
      <c r="I857" s="16" t="n"/>
      <c r="J857" s="16" t="n"/>
    </row>
    <row r="858" ht="12.75" customHeight="1" s="588">
      <c r="I858" s="16" t="n"/>
      <c r="J858" s="16" t="n"/>
    </row>
    <row r="859" ht="12.75" customHeight="1" s="588">
      <c r="I859" s="16" t="n"/>
      <c r="J859" s="16" t="n"/>
    </row>
    <row r="860" ht="12.75" customHeight="1" s="588">
      <c r="I860" s="16" t="n"/>
      <c r="J860" s="16" t="n"/>
    </row>
    <row r="861" ht="12.75" customHeight="1" s="588">
      <c r="I861" s="16" t="n"/>
      <c r="J861" s="16" t="n"/>
    </row>
    <row r="862" ht="12.75" customHeight="1" s="588">
      <c r="I862" s="16" t="n"/>
      <c r="J862" s="16" t="n"/>
    </row>
    <row r="863" ht="12.75" customHeight="1" s="588">
      <c r="I863" s="16" t="n"/>
      <c r="J863" s="16" t="n"/>
    </row>
    <row r="864" ht="12.75" customHeight="1" s="588">
      <c r="I864" s="16" t="n"/>
      <c r="J864" s="16" t="n"/>
    </row>
    <row r="865" ht="12.75" customHeight="1" s="588">
      <c r="I865" s="16" t="n"/>
      <c r="J865" s="16" t="n"/>
    </row>
    <row r="866" ht="12.75" customHeight="1" s="588">
      <c r="I866" s="16" t="n"/>
      <c r="J866" s="16" t="n"/>
    </row>
    <row r="867" ht="12.75" customHeight="1" s="588">
      <c r="I867" s="16" t="n"/>
      <c r="J867" s="16" t="n"/>
    </row>
    <row r="868" ht="12.75" customHeight="1" s="588">
      <c r="I868" s="16" t="n"/>
      <c r="J868" s="16" t="n"/>
    </row>
    <row r="869" ht="12.75" customHeight="1" s="588">
      <c r="I869" s="16" t="n"/>
      <c r="J869" s="16" t="n"/>
    </row>
    <row r="870" ht="12.75" customHeight="1" s="588">
      <c r="I870" s="16" t="n"/>
      <c r="J870" s="16" t="n"/>
    </row>
    <row r="871" ht="12.75" customHeight="1" s="588">
      <c r="I871" s="16" t="n"/>
      <c r="J871" s="16" t="n"/>
    </row>
    <row r="872" ht="12.75" customHeight="1" s="588">
      <c r="I872" s="16" t="n"/>
      <c r="J872" s="16" t="n"/>
    </row>
    <row r="873" ht="12.75" customHeight="1" s="588">
      <c r="I873" s="16" t="n"/>
      <c r="J873" s="16" t="n"/>
    </row>
    <row r="874" ht="12.75" customHeight="1" s="588">
      <c r="I874" s="16" t="n"/>
      <c r="J874" s="16" t="n"/>
    </row>
    <row r="875" ht="12.75" customHeight="1" s="588">
      <c r="I875" s="16" t="n"/>
      <c r="J875" s="16" t="n"/>
    </row>
    <row r="876" ht="12.75" customHeight="1" s="588">
      <c r="I876" s="16" t="n"/>
      <c r="J876" s="16" t="n"/>
    </row>
    <row r="877" ht="12.75" customHeight="1" s="588">
      <c r="I877" s="16" t="n"/>
      <c r="J877" s="16" t="n"/>
    </row>
    <row r="878" ht="12.75" customHeight="1" s="588">
      <c r="I878" s="16" t="n"/>
      <c r="J878" s="16" t="n"/>
    </row>
    <row r="879" ht="12.75" customHeight="1" s="588">
      <c r="I879" s="16" t="n"/>
      <c r="J879" s="16" t="n"/>
    </row>
    <row r="880" ht="12.75" customHeight="1" s="588">
      <c r="I880" s="16" t="n"/>
      <c r="J880" s="16" t="n"/>
    </row>
    <row r="881" ht="12.75" customHeight="1" s="588">
      <c r="I881" s="16" t="n"/>
      <c r="J881" s="16" t="n"/>
    </row>
    <row r="882" ht="12.75" customHeight="1" s="588">
      <c r="I882" s="16" t="n"/>
      <c r="J882" s="16" t="n"/>
    </row>
    <row r="883" ht="12.75" customHeight="1" s="588">
      <c r="I883" s="16" t="n"/>
      <c r="J883" s="16" t="n"/>
    </row>
    <row r="884" ht="12.75" customHeight="1" s="588">
      <c r="I884" s="16" t="n"/>
      <c r="J884" s="16" t="n"/>
    </row>
    <row r="885" ht="12.75" customHeight="1" s="588">
      <c r="I885" s="16" t="n"/>
      <c r="J885" s="16" t="n"/>
    </row>
    <row r="886" ht="12.75" customHeight="1" s="588">
      <c r="I886" s="16" t="n"/>
      <c r="J886" s="16" t="n"/>
    </row>
    <row r="887" ht="12.75" customHeight="1" s="588">
      <c r="I887" s="16" t="n"/>
      <c r="J887" s="16" t="n"/>
    </row>
    <row r="888" ht="12.75" customHeight="1" s="588">
      <c r="I888" s="16" t="n"/>
      <c r="J888" s="16" t="n"/>
    </row>
    <row r="889" ht="12.75" customHeight="1" s="588">
      <c r="I889" s="16" t="n"/>
      <c r="J889" s="16" t="n"/>
    </row>
    <row r="890" ht="12.75" customHeight="1" s="588">
      <c r="I890" s="16" t="n"/>
      <c r="J890" s="16" t="n"/>
    </row>
    <row r="891" ht="12.75" customHeight="1" s="588">
      <c r="I891" s="16" t="n"/>
      <c r="J891" s="16" t="n"/>
    </row>
    <row r="892" ht="12.75" customHeight="1" s="588">
      <c r="I892" s="16" t="n"/>
      <c r="J892" s="16" t="n"/>
    </row>
    <row r="893" ht="12.75" customHeight="1" s="588">
      <c r="I893" s="16" t="n"/>
      <c r="J893" s="16" t="n"/>
    </row>
    <row r="894" ht="12.75" customHeight="1" s="588">
      <c r="I894" s="16" t="n"/>
      <c r="J894" s="16" t="n"/>
    </row>
    <row r="895" ht="12.75" customHeight="1" s="588">
      <c r="I895" s="16" t="n"/>
      <c r="J895" s="16" t="n"/>
    </row>
    <row r="896" ht="12.75" customHeight="1" s="588">
      <c r="I896" s="16" t="n"/>
      <c r="J896" s="16" t="n"/>
    </row>
    <row r="897" ht="12.75" customHeight="1" s="588">
      <c r="I897" s="16" t="n"/>
      <c r="J897" s="16" t="n"/>
    </row>
    <row r="898" ht="12.75" customHeight="1" s="588">
      <c r="I898" s="16" t="n"/>
      <c r="J898" s="16" t="n"/>
    </row>
    <row r="899" ht="12.75" customHeight="1" s="588">
      <c r="I899" s="16" t="n"/>
      <c r="J899" s="16" t="n"/>
    </row>
    <row r="900" ht="12.75" customHeight="1" s="588">
      <c r="I900" s="16" t="n"/>
      <c r="J900" s="16" t="n"/>
    </row>
    <row r="901" ht="12.75" customHeight="1" s="588">
      <c r="I901" s="16" t="n"/>
      <c r="J901" s="16" t="n"/>
    </row>
    <row r="902" ht="12.75" customHeight="1" s="588">
      <c r="I902" s="16" t="n"/>
      <c r="J902" s="16" t="n"/>
    </row>
    <row r="903" ht="12.75" customHeight="1" s="588">
      <c r="I903" s="16" t="n"/>
      <c r="J903" s="16" t="n"/>
    </row>
    <row r="904" ht="12.75" customHeight="1" s="588">
      <c r="I904" s="16" t="n"/>
      <c r="J904" s="16" t="n"/>
    </row>
    <row r="905" ht="12.75" customHeight="1" s="588">
      <c r="I905" s="16" t="n"/>
      <c r="J905" s="16" t="n"/>
    </row>
    <row r="906" ht="12.75" customHeight="1" s="588">
      <c r="I906" s="16" t="n"/>
      <c r="J906" s="16" t="n"/>
    </row>
    <row r="907" ht="12.75" customHeight="1" s="588">
      <c r="I907" s="16" t="n"/>
      <c r="J907" s="16" t="n"/>
    </row>
    <row r="908" ht="12.75" customHeight="1" s="588">
      <c r="I908" s="16" t="n"/>
      <c r="J908" s="16" t="n"/>
    </row>
    <row r="909" ht="12.75" customHeight="1" s="588">
      <c r="I909" s="16" t="n"/>
      <c r="J909" s="16" t="n"/>
    </row>
    <row r="910" ht="12.75" customHeight="1" s="588">
      <c r="I910" s="16" t="n"/>
      <c r="J910" s="16" t="n"/>
    </row>
    <row r="911" ht="12.75" customHeight="1" s="588">
      <c r="I911" s="16" t="n"/>
      <c r="J911" s="16" t="n"/>
    </row>
    <row r="912" ht="12.75" customHeight="1" s="588">
      <c r="I912" s="16" t="n"/>
      <c r="J912" s="16" t="n"/>
    </row>
    <row r="913" ht="12.75" customHeight="1" s="588">
      <c r="I913" s="16" t="n"/>
      <c r="J913" s="16" t="n"/>
    </row>
    <row r="914" ht="12.75" customHeight="1" s="588">
      <c r="I914" s="16" t="n"/>
      <c r="J914" s="16" t="n"/>
    </row>
    <row r="915" ht="12.75" customHeight="1" s="588">
      <c r="I915" s="16" t="n"/>
      <c r="J915" s="16" t="n"/>
    </row>
    <row r="916" ht="12.75" customHeight="1" s="588">
      <c r="I916" s="16" t="n"/>
      <c r="J916" s="16" t="n"/>
    </row>
    <row r="917" ht="12.75" customHeight="1" s="588">
      <c r="I917" s="16" t="n"/>
      <c r="J917" s="16" t="n"/>
    </row>
    <row r="918" ht="12.75" customHeight="1" s="588">
      <c r="I918" s="16" t="n"/>
      <c r="J918" s="16" t="n"/>
    </row>
    <row r="919" ht="12.75" customHeight="1" s="588">
      <c r="I919" s="16" t="n"/>
      <c r="J919" s="16" t="n"/>
    </row>
    <row r="920" ht="12.75" customHeight="1" s="588">
      <c r="I920" s="16" t="n"/>
      <c r="J920" s="16" t="n"/>
    </row>
    <row r="921" ht="12.75" customHeight="1" s="588">
      <c r="I921" s="16" t="n"/>
      <c r="J921" s="16" t="n"/>
    </row>
    <row r="922" ht="12.75" customHeight="1" s="588">
      <c r="I922" s="16" t="n"/>
      <c r="J922" s="16" t="n"/>
    </row>
    <row r="923" ht="12.75" customHeight="1" s="588">
      <c r="I923" s="16" t="n"/>
      <c r="J923" s="16" t="n"/>
    </row>
    <row r="924" ht="12.75" customHeight="1" s="588">
      <c r="I924" s="16" t="n"/>
      <c r="J924" s="16" t="n"/>
    </row>
    <row r="925" ht="12.75" customHeight="1" s="588">
      <c r="I925" s="16" t="n"/>
      <c r="J925" s="16" t="n"/>
    </row>
    <row r="926" ht="12.75" customHeight="1" s="588">
      <c r="I926" s="16" t="n"/>
      <c r="J926" s="16" t="n"/>
    </row>
    <row r="927" ht="12.75" customHeight="1" s="588">
      <c r="I927" s="16" t="n"/>
      <c r="J927" s="16" t="n"/>
    </row>
    <row r="928" ht="12.75" customHeight="1" s="588">
      <c r="I928" s="16" t="n"/>
      <c r="J928" s="16" t="n"/>
    </row>
    <row r="929" ht="12.75" customHeight="1" s="588">
      <c r="I929" s="16" t="n"/>
      <c r="J929" s="16" t="n"/>
    </row>
    <row r="930" ht="12.75" customHeight="1" s="588">
      <c r="I930" s="16" t="n"/>
      <c r="J930" s="16" t="n"/>
    </row>
    <row r="931" ht="12.75" customHeight="1" s="588">
      <c r="I931" s="16" t="n"/>
      <c r="J931" s="16" t="n"/>
    </row>
    <row r="932" ht="12.75" customHeight="1" s="588">
      <c r="I932" s="16" t="n"/>
      <c r="J932" s="16" t="n"/>
    </row>
    <row r="933" ht="12.75" customHeight="1" s="588">
      <c r="I933" s="16" t="n"/>
      <c r="J933" s="16" t="n"/>
    </row>
    <row r="934" ht="12.75" customHeight="1" s="588">
      <c r="I934" s="16" t="n"/>
      <c r="J934" s="16" t="n"/>
    </row>
    <row r="935" ht="12.75" customHeight="1" s="588">
      <c r="I935" s="16" t="n"/>
      <c r="J935" s="16" t="n"/>
    </row>
    <row r="936" ht="12.75" customHeight="1" s="588">
      <c r="I936" s="16" t="n"/>
      <c r="J936" s="16" t="n"/>
    </row>
    <row r="937" ht="12.75" customHeight="1" s="588">
      <c r="I937" s="16" t="n"/>
      <c r="J937" s="16" t="n"/>
    </row>
    <row r="938" ht="12.75" customHeight="1" s="588">
      <c r="I938" s="16" t="n"/>
      <c r="J938" s="16" t="n"/>
    </row>
    <row r="939" ht="12.75" customHeight="1" s="588">
      <c r="I939" s="16" t="n"/>
      <c r="J939" s="16" t="n"/>
    </row>
    <row r="940" ht="12.75" customHeight="1" s="588">
      <c r="I940" s="16" t="n"/>
      <c r="J940" s="16" t="n"/>
    </row>
    <row r="941" ht="12.75" customHeight="1" s="588">
      <c r="I941" s="16" t="n"/>
      <c r="J941" s="16" t="n"/>
    </row>
    <row r="942" ht="12.75" customHeight="1" s="588">
      <c r="I942" s="16" t="n"/>
      <c r="J942" s="16" t="n"/>
    </row>
    <row r="943" ht="12.75" customHeight="1" s="588">
      <c r="I943" s="16" t="n"/>
      <c r="J943" s="16" t="n"/>
    </row>
    <row r="944" ht="12.75" customHeight="1" s="588">
      <c r="I944" s="16" t="n"/>
      <c r="J944" s="16" t="n"/>
    </row>
    <row r="945" ht="12.75" customHeight="1" s="588">
      <c r="I945" s="16" t="n"/>
      <c r="J945" s="16" t="n"/>
    </row>
    <row r="946" ht="12.75" customHeight="1" s="588">
      <c r="I946" s="16" t="n"/>
      <c r="J946" s="16" t="n"/>
    </row>
    <row r="947" ht="12.75" customHeight="1" s="588">
      <c r="I947" s="16" t="n"/>
      <c r="J947" s="16" t="n"/>
    </row>
    <row r="948" ht="12.75" customHeight="1" s="588">
      <c r="I948" s="16" t="n"/>
      <c r="J948" s="16" t="n"/>
    </row>
    <row r="949" ht="12.75" customHeight="1" s="588">
      <c r="I949" s="16" t="n"/>
      <c r="J949" s="16" t="n"/>
    </row>
    <row r="950" ht="12.75" customHeight="1" s="588">
      <c r="I950" s="16" t="n"/>
      <c r="J950" s="16" t="n"/>
    </row>
    <row r="951" ht="12.75" customHeight="1" s="588">
      <c r="I951" s="16" t="n"/>
      <c r="J951" s="16" t="n"/>
    </row>
    <row r="952" ht="12.75" customHeight="1" s="588">
      <c r="I952" s="16" t="n"/>
      <c r="J952" s="16" t="n"/>
    </row>
    <row r="953" ht="12.75" customHeight="1" s="588">
      <c r="I953" s="16" t="n"/>
      <c r="J953" s="16" t="n"/>
    </row>
    <row r="954" ht="12.75" customHeight="1" s="588">
      <c r="I954" s="16" t="n"/>
      <c r="J954" s="16" t="n"/>
    </row>
    <row r="955" ht="12.75" customHeight="1" s="588">
      <c r="I955" s="16" t="n"/>
      <c r="J955" s="16" t="n"/>
    </row>
    <row r="956" ht="12.75" customHeight="1" s="588">
      <c r="I956" s="16" t="n"/>
      <c r="J956" s="16" t="n"/>
    </row>
    <row r="957" ht="12.75" customHeight="1" s="588">
      <c r="I957" s="16" t="n"/>
      <c r="J957" s="16" t="n"/>
    </row>
    <row r="958" ht="12.75" customHeight="1" s="588">
      <c r="I958" s="16" t="n"/>
      <c r="J958" s="16" t="n"/>
    </row>
    <row r="959" ht="12.75" customHeight="1" s="588">
      <c r="I959" s="16" t="n"/>
      <c r="J959" s="16" t="n"/>
    </row>
    <row r="960" ht="12.75" customHeight="1" s="588">
      <c r="I960" s="16" t="n"/>
      <c r="J960" s="16" t="n"/>
    </row>
    <row r="961" ht="12.75" customHeight="1" s="588">
      <c r="I961" s="16" t="n"/>
      <c r="J961" s="16" t="n"/>
    </row>
    <row r="962" ht="12.75" customHeight="1" s="588">
      <c r="I962" s="16" t="n"/>
      <c r="J962" s="16" t="n"/>
    </row>
    <row r="963" ht="12.75" customHeight="1" s="588">
      <c r="I963" s="16" t="n"/>
      <c r="J963" s="16" t="n"/>
    </row>
    <row r="964" ht="12.75" customHeight="1" s="588">
      <c r="I964" s="16" t="n"/>
      <c r="J964" s="16" t="n"/>
    </row>
    <row r="965" ht="12.75" customHeight="1" s="588">
      <c r="I965" s="16" t="n"/>
      <c r="J965" s="16" t="n"/>
    </row>
    <row r="966" ht="12.75" customHeight="1" s="588">
      <c r="I966" s="16" t="n"/>
      <c r="J966" s="16" t="n"/>
    </row>
    <row r="967" ht="12.75" customHeight="1" s="588">
      <c r="I967" s="16" t="n"/>
      <c r="J967" s="16" t="n"/>
    </row>
    <row r="968" ht="12.75" customHeight="1" s="588">
      <c r="I968" s="16" t="n"/>
      <c r="J968" s="16" t="n"/>
    </row>
    <row r="969" ht="12.75" customHeight="1" s="588">
      <c r="I969" s="16" t="n"/>
      <c r="J969" s="16" t="n"/>
    </row>
    <row r="970" ht="12.75" customHeight="1" s="588">
      <c r="I970" s="16" t="n"/>
      <c r="J970" s="16" t="n"/>
    </row>
    <row r="971" ht="12.75" customHeight="1" s="588">
      <c r="I971" s="16" t="n"/>
      <c r="J971" s="16" t="n"/>
    </row>
    <row r="972" ht="12.75" customHeight="1" s="588">
      <c r="I972" s="16" t="n"/>
      <c r="J972" s="16" t="n"/>
    </row>
    <row r="973" ht="12.75" customHeight="1" s="588">
      <c r="I973" s="16" t="n"/>
      <c r="J973" s="16" t="n"/>
    </row>
    <row r="974" ht="12.75" customHeight="1" s="588">
      <c r="I974" s="16" t="n"/>
      <c r="J974" s="16" t="n"/>
    </row>
    <row r="975" ht="12.75" customHeight="1" s="588">
      <c r="I975" s="16" t="n"/>
      <c r="J975" s="16" t="n"/>
    </row>
    <row r="976" ht="12.75" customHeight="1" s="588">
      <c r="I976" s="16" t="n"/>
      <c r="J976" s="16" t="n"/>
    </row>
    <row r="977" ht="12.75" customHeight="1" s="588">
      <c r="I977" s="16" t="n"/>
      <c r="J977" s="16" t="n"/>
    </row>
    <row r="978" ht="12.75" customHeight="1" s="588">
      <c r="I978" s="16" t="n"/>
      <c r="J978" s="16" t="n"/>
    </row>
    <row r="979" ht="12.75" customHeight="1" s="588">
      <c r="I979" s="16" t="n"/>
      <c r="J979" s="16" t="n"/>
    </row>
    <row r="980" ht="12.75" customHeight="1" s="588">
      <c r="I980" s="16" t="n"/>
      <c r="J980" s="16" t="n"/>
    </row>
    <row r="981" ht="12.75" customHeight="1" s="588">
      <c r="I981" s="16" t="n"/>
      <c r="J981" s="16" t="n"/>
    </row>
    <row r="982" ht="12.75" customHeight="1" s="588">
      <c r="I982" s="16" t="n"/>
      <c r="J982" s="16" t="n"/>
    </row>
    <row r="983" ht="12.75" customHeight="1" s="588">
      <c r="I983" s="16" t="n"/>
      <c r="J983" s="16" t="n"/>
    </row>
    <row r="984" ht="12.75" customHeight="1" s="588">
      <c r="I984" s="16" t="n"/>
      <c r="J984" s="16" t="n"/>
    </row>
    <row r="985" ht="12.75" customHeight="1" s="588">
      <c r="I985" s="16" t="n"/>
      <c r="J985" s="16" t="n"/>
    </row>
    <row r="986" ht="12.75" customHeight="1" s="588">
      <c r="I986" s="16" t="n"/>
      <c r="J986" s="16" t="n"/>
    </row>
    <row r="987" ht="12.75" customHeight="1" s="588">
      <c r="I987" s="16" t="n"/>
      <c r="J987" s="16" t="n"/>
    </row>
    <row r="988" ht="12.75" customHeight="1" s="588">
      <c r="I988" s="16" t="n"/>
      <c r="J988" s="16" t="n"/>
    </row>
    <row r="989" ht="12.75" customHeight="1" s="588">
      <c r="I989" s="16" t="n"/>
      <c r="J989" s="16" t="n"/>
    </row>
    <row r="990" ht="12.75" customHeight="1" s="588">
      <c r="I990" s="16" t="n"/>
      <c r="J990" s="16" t="n"/>
    </row>
    <row r="991" ht="12.75" customHeight="1" s="588">
      <c r="I991" s="16" t="n"/>
      <c r="J991" s="16" t="n"/>
    </row>
    <row r="992" ht="12.75" customHeight="1" s="588">
      <c r="I992" s="16" t="n"/>
      <c r="J992" s="16" t="n"/>
    </row>
    <row r="993" ht="12.75" customHeight="1" s="588">
      <c r="I993" s="16" t="n"/>
      <c r="J993" s="16" t="n"/>
    </row>
    <row r="994" ht="12.75" customHeight="1" s="588">
      <c r="I994" s="16" t="n"/>
      <c r="J994" s="16" t="n"/>
    </row>
    <row r="995" ht="12.75" customHeight="1" s="588">
      <c r="I995" s="16" t="n"/>
      <c r="J995" s="16" t="n"/>
    </row>
    <row r="996" ht="12.75" customHeight="1" s="588">
      <c r="I996" s="16" t="n"/>
      <c r="J996" s="16" t="n"/>
    </row>
    <row r="997" ht="12.75" customHeight="1" s="588">
      <c r="I997" s="16" t="n"/>
      <c r="J997" s="16" t="n"/>
    </row>
    <row r="998" ht="12.75" customHeight="1" s="588">
      <c r="I998" s="16" t="n"/>
      <c r="J998" s="16" t="n"/>
    </row>
    <row r="999" ht="12.75" customHeight="1" s="588">
      <c r="I999" s="16" t="n"/>
      <c r="J999" s="16" t="n"/>
    </row>
    <row r="1000" ht="12.75" customHeight="1" s="588">
      <c r="I1000" s="16" t="n"/>
      <c r="J1000" s="16" t="n"/>
    </row>
  </sheetData>
  <mergeCells count="39">
    <mergeCell ref="H159:K159"/>
    <mergeCell ref="F162:G162"/>
    <mergeCell ref="B141:K146"/>
    <mergeCell ref="B135:K140"/>
    <mergeCell ref="B153:K158"/>
    <mergeCell ref="B159:C159"/>
    <mergeCell ref="D159:E159"/>
    <mergeCell ref="B104:E104"/>
    <mergeCell ref="H160:K160"/>
    <mergeCell ref="A42:C42"/>
    <mergeCell ref="B161:C161"/>
    <mergeCell ref="F164:G164"/>
    <mergeCell ref="G105:J114"/>
    <mergeCell ref="H162:K162"/>
    <mergeCell ref="D160:E160"/>
    <mergeCell ref="F160:G160"/>
    <mergeCell ref="D163:E163"/>
    <mergeCell ref="G130:J130"/>
    <mergeCell ref="G117:J126"/>
    <mergeCell ref="F163:G163"/>
    <mergeCell ref="F159:G159"/>
    <mergeCell ref="B164:D164"/>
    <mergeCell ref="B162:C162"/>
    <mergeCell ref="D162:E162"/>
    <mergeCell ref="B105:E114"/>
    <mergeCell ref="B130:E130"/>
    <mergeCell ref="B117:E126"/>
    <mergeCell ref="H161:K161"/>
    <mergeCell ref="A68:K97"/>
    <mergeCell ref="G116:J116"/>
    <mergeCell ref="B147:K152"/>
    <mergeCell ref="H164:K164"/>
    <mergeCell ref="D161:E161"/>
    <mergeCell ref="H163:K163"/>
    <mergeCell ref="F161:G161"/>
    <mergeCell ref="B116:E116"/>
    <mergeCell ref="B160:C160"/>
    <mergeCell ref="B163:C163"/>
    <mergeCell ref="G104:J104"/>
  </mergeCells>
  <hyperlinks>
    <hyperlink ref="D46" location="'PARA QUIÉN'!A7" display="¿PARA QUIÉN?"/>
    <hyperlink ref="H50" location="'EL QUÉ'!A8" display="¿EL QUÉ?"/>
    <hyperlink ref="E54" location="'CÓMO'!A6" display="¿CÓMO?"/>
    <hyperlink ref="G56" location="'CUÁNTO Y CUÁNDO'!H25" display="¿CUÁNTO Y CUÁNDO?"/>
  </hyperlinks>
  <pageMargins left="0.7086614173228347" right="0.7086614173228347" top="0.9448818897637796" bottom="0.7480314960629921" header="0" footer="0"/>
  <pageSetup orientation="landscape" paperSize="9"/>
  <headerFooter>
    <oddHeader/>
    <oddFooter>&amp;L00-045&amp;F&amp;C03+078Métodología INCYNCO&amp;R00-045Resumen Ejecutivo &amp;P</oddFooter>
    <evenHeader/>
    <evenFooter/>
    <firstHeader/>
    <firstFooter/>
  </headerFooter>
</worksheet>
</file>

<file path=xl/worksheets/sheet2.xml><?xml version="1.0" encoding="utf-8"?>
<worksheet xmlns="http://schemas.openxmlformats.org/spreadsheetml/2006/main">
  <sheetPr>
    <tabColor rgb="FF0F243E"/>
    <outlinePr summaryBelow="1" summaryRight="1"/>
    <pageSetUpPr/>
  </sheetPr>
  <dimension ref="A1:Z245"/>
  <sheetViews>
    <sheetView workbookViewId="0">
      <selection activeCell="A1" sqref="A1"/>
    </sheetView>
  </sheetViews>
  <sheetFormatPr baseColWidth="8" defaultColWidth="14.43" defaultRowHeight="15" customHeight="1"/>
  <cols>
    <col width="10.71" customWidth="1" style="588" min="1" max="26"/>
  </cols>
  <sheetData>
    <row r="1" ht="12.75" customHeight="1" s="588">
      <c r="A1" s="8" t="inlineStr">
        <is>
          <t>¿POR QUÉ?</t>
        </is>
      </c>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row>
    <row r="3" ht="12.75" customHeight="1" s="588">
      <c r="A3" s="1" t="n"/>
      <c r="B3" s="1" t="n"/>
      <c r="C3" s="1" t="n"/>
      <c r="D3" s="1" t="n"/>
      <c r="E3" s="1" t="n"/>
      <c r="F3" s="1" t="n"/>
      <c r="G3" s="1" t="n"/>
      <c r="H3" s="1" t="n"/>
      <c r="I3" s="1" t="n"/>
      <c r="J3" s="1" t="n"/>
      <c r="K3" s="1" t="n"/>
      <c r="L3" s="16" t="n"/>
      <c r="M3" s="16" t="n"/>
      <c r="N3" s="16" t="n"/>
      <c r="O3" s="16" t="n"/>
      <c r="P3" s="16" t="n"/>
      <c r="Q3" s="16" t="n"/>
      <c r="R3" s="16" t="n"/>
      <c r="S3" s="16" t="n"/>
      <c r="T3" s="16" t="n"/>
      <c r="U3" s="16" t="n"/>
      <c r="V3" s="16" t="n"/>
      <c r="W3" s="16" t="n"/>
      <c r="X3" s="16" t="n"/>
      <c r="Y3" s="16" t="n"/>
      <c r="Z3" s="16" t="n"/>
    </row>
    <row r="4" ht="12.75" customHeight="1" s="588">
      <c r="A4" s="1" t="n"/>
      <c r="B4" s="1" t="n"/>
      <c r="C4" s="1" t="n"/>
      <c r="D4" s="1" t="n"/>
      <c r="E4" s="1" t="n"/>
      <c r="F4" s="130" t="inlineStr">
        <is>
          <t>Observaciones del Mercado que suscitan la Idea</t>
        </is>
      </c>
      <c r="G4" s="1" t="n"/>
      <c r="H4" s="1" t="n"/>
      <c r="I4" s="1" t="n"/>
      <c r="J4" s="1" t="n"/>
      <c r="K4" s="1" t="n"/>
    </row>
    <row r="5" ht="12.75" customHeight="1" s="588">
      <c r="A5" s="592" t="inlineStr">
        <is>
          <t>La oportunidad de 2026 ya no es la ausencia de web, es la mala web. El dato que justificaba este proyecto en 2023 ("el 78% de autónomos y pymes no tiene página web", encuesta GoDaddy a 400 negocios) está obsoleto: en 2026 alrededor del 76% de las pymes españolas ya tiene web y solo un 24% carece de ella. El Kit Digital (2022-2025) financió decenas de miles de sitios web, y la solución "Sitio web y presencia en internet" fue la más demandada del programa (32% de los bonos). El resultado en El Bierzo es un parque de sitios web construidos deprisa, con plantilla, sin mantenimiento posterior y sin posicionamiento local.
De ahí surge la idea: el mercado ya no paga por "tener una web", paga por que la web funcione, este actualizada, sea segura y traiga clientes. Tres hechos lo sostienen. (1) Muchos sitios financiados por Kit Digital han cumplido ya su periodo de mantenimiento obligatorio y quedan huerfanos de proveedor. (2) La factura electrónica B2B obligatoria (Ley 18/2022 Crea y Crece, y el sistema Verifactu) obliga a miles de micronegocios a tocar sus sistemas digitales. (3) Los constructores web con IA han hundido el precio de "una web bonita", lo que expulsa del mercado a quien solo vende maquetación y premia a quien vende criterio, contenido local y continuidad.
FUENTES: ONTSI/Ministerio, Informe de digitalización de las pymes; DESI 2024 (España, puesto 14 de 27); datos de ejecución del programa Kit Digital, acelerapyme.gob.es.</t>
        </is>
      </c>
      <c r="B5" s="593" t="n"/>
      <c r="C5" s="593" t="n"/>
      <c r="D5" s="593" t="n"/>
      <c r="E5" s="593" t="n"/>
      <c r="F5" s="593" t="n"/>
      <c r="G5" s="593" t="n"/>
      <c r="H5" s="593" t="n"/>
      <c r="I5" s="593" t="n"/>
      <c r="J5" s="593" t="n"/>
      <c r="K5" s="594" t="n"/>
    </row>
    <row r="6" ht="12.75" customHeight="1" s="588">
      <c r="A6" s="595" t="n"/>
      <c r="K6" s="596" t="n"/>
    </row>
    <row r="7" ht="12.75" customHeight="1" s="588">
      <c r="A7" s="595" t="n"/>
      <c r="K7" s="596" t="n"/>
    </row>
    <row r="8" ht="12.75" customHeight="1" s="588">
      <c r="A8" s="595" t="n"/>
      <c r="K8" s="596" t="n"/>
    </row>
    <row r="9" ht="12.75" customHeight="1" s="588">
      <c r="A9" s="595" t="n"/>
      <c r="K9" s="596" t="n"/>
    </row>
    <row r="10" ht="12.75" customHeight="1" s="588">
      <c r="A10" s="595" t="n"/>
      <c r="K10" s="596" t="n"/>
    </row>
    <row r="11" ht="12.75" customHeight="1" s="588">
      <c r="A11" s="595" t="n"/>
      <c r="K11" s="596" t="n"/>
    </row>
    <row r="12" ht="12.75" customHeight="1" s="588">
      <c r="A12" s="595" t="n"/>
      <c r="K12" s="596" t="n"/>
    </row>
    <row r="13" ht="12.75" customHeight="1" s="588">
      <c r="A13" s="595" t="n"/>
      <c r="K13" s="596" t="n"/>
    </row>
    <row r="14" ht="12.75" customHeight="1" s="588">
      <c r="A14" s="595" t="n"/>
      <c r="K14" s="596" t="n"/>
    </row>
    <row r="15" ht="12.75" customHeight="1" s="588">
      <c r="A15" s="595" t="n"/>
      <c r="K15" s="596" t="n"/>
    </row>
    <row r="16" ht="12.75" customHeight="1" s="588">
      <c r="A16" s="595" t="n"/>
      <c r="K16" s="596" t="n"/>
    </row>
    <row r="17" ht="12.75" customHeight="1" s="588">
      <c r="A17" s="595" t="n"/>
      <c r="K17" s="596" t="n"/>
    </row>
    <row r="18" ht="12.75" customHeight="1" s="588">
      <c r="A18" s="595" t="n"/>
      <c r="K18" s="596" t="n"/>
    </row>
    <row r="19" ht="12.75" customHeight="1" s="588">
      <c r="A19" s="595" t="n"/>
      <c r="K19" s="596" t="n"/>
    </row>
    <row r="20" ht="12.75" customHeight="1" s="588">
      <c r="A20" s="595" t="n"/>
      <c r="K20" s="596" t="n"/>
    </row>
    <row r="21" ht="12.75" customHeight="1" s="588">
      <c r="A21" s="595" t="n"/>
      <c r="K21" s="596" t="n"/>
    </row>
    <row r="22" ht="12.75" customHeight="1" s="588">
      <c r="A22" s="595" t="n"/>
      <c r="K22" s="596" t="n"/>
    </row>
    <row r="23" ht="12.75" customHeight="1" s="588">
      <c r="A23" s="595" t="n"/>
      <c r="K23" s="596" t="n"/>
      <c r="L23" s="16" t="n"/>
      <c r="M23" s="16" t="n"/>
      <c r="N23" s="16" t="n"/>
      <c r="O23" s="16" t="n"/>
      <c r="P23" s="16" t="n"/>
      <c r="Q23" s="16" t="n"/>
      <c r="R23" s="16" t="n"/>
      <c r="S23" s="16" t="n"/>
      <c r="T23" s="16" t="n"/>
      <c r="U23" s="16" t="n"/>
      <c r="V23" s="16" t="n"/>
      <c r="W23" s="16" t="n"/>
      <c r="X23" s="16" t="n"/>
      <c r="Y23" s="16" t="n"/>
      <c r="Z23" s="16" t="n"/>
    </row>
    <row r="24" ht="12.75" customHeight="1" s="588">
      <c r="A24" s="595" t="n"/>
      <c r="K24" s="596" t="n"/>
    </row>
    <row r="25" ht="12.75" customHeight="1" s="588">
      <c r="A25" s="595" t="n"/>
      <c r="K25" s="596" t="n"/>
      <c r="L25" s="16" t="n"/>
      <c r="M25" s="16" t="n"/>
      <c r="N25" s="16" t="n"/>
      <c r="O25" s="16" t="n"/>
      <c r="P25" s="16" t="n"/>
      <c r="Q25" s="16" t="n"/>
      <c r="R25" s="16" t="n"/>
      <c r="S25" s="16" t="n"/>
      <c r="T25" s="16" t="n"/>
      <c r="U25" s="16" t="n"/>
      <c r="V25" s="16" t="n"/>
      <c r="W25" s="16" t="n"/>
      <c r="X25" s="16" t="n"/>
      <c r="Y25" s="16" t="n"/>
      <c r="Z25" s="16" t="n"/>
    </row>
    <row r="26" ht="12.75" customHeight="1" s="588">
      <c r="A26" s="595" t="n"/>
      <c r="K26" s="596" t="n"/>
    </row>
    <row r="27" ht="12.75" customHeight="1" s="588">
      <c r="A27" s="595" t="n"/>
      <c r="K27" s="596" t="n"/>
    </row>
    <row r="28" ht="12.75" customHeight="1" s="588">
      <c r="A28" s="595" t="n"/>
      <c r="K28" s="596" t="n"/>
    </row>
    <row r="29" ht="12.75" customHeight="1" s="588">
      <c r="A29" s="595" t="n"/>
      <c r="K29" s="596" t="n"/>
    </row>
    <row r="30" ht="12.75" customHeight="1" s="588">
      <c r="A30" s="595" t="n"/>
      <c r="K30" s="596" t="n"/>
    </row>
    <row r="31" ht="12.75" customHeight="1" s="588">
      <c r="A31" s="595" t="n"/>
      <c r="K31" s="596" t="n"/>
    </row>
    <row r="32" ht="12.75" customHeight="1" s="588">
      <c r="A32" s="595" t="n"/>
      <c r="K32" s="596" t="n"/>
    </row>
    <row r="33" ht="12.75" customHeight="1" s="588">
      <c r="A33" s="595" t="n"/>
      <c r="K33" s="596" t="n"/>
    </row>
    <row r="34" ht="12.75" customHeight="1" s="588">
      <c r="A34" s="595" t="n"/>
      <c r="K34" s="596" t="n"/>
    </row>
    <row r="35" ht="12.75" customHeight="1" s="588">
      <c r="A35" s="597" t="n"/>
      <c r="B35" s="598" t="n"/>
      <c r="C35" s="598" t="n"/>
      <c r="D35" s="598" t="n"/>
      <c r="E35" s="598" t="n"/>
      <c r="F35" s="598" t="n"/>
      <c r="G35" s="598" t="n"/>
      <c r="H35" s="598" t="n"/>
      <c r="I35" s="598" t="n"/>
      <c r="J35" s="598" t="n"/>
      <c r="K35" s="599" t="n"/>
    </row>
    <row r="36" ht="12.75" customHeight="1" s="588">
      <c r="A36" s="1" t="n"/>
      <c r="B36" s="1" t="n"/>
      <c r="C36" s="1" t="n"/>
      <c r="D36" s="1" t="n"/>
      <c r="E36" s="1" t="n"/>
      <c r="F36" s="1" t="n"/>
      <c r="G36" s="1" t="n"/>
      <c r="H36" s="1" t="n"/>
      <c r="I36" s="1" t="n"/>
      <c r="J36" s="1" t="n"/>
      <c r="K36" s="1" t="n"/>
    </row>
    <row r="37" ht="12.75" customHeight="1" s="588">
      <c r="A37" s="8" t="inlineStr">
        <is>
          <t>¿POR QUÉ?</t>
        </is>
      </c>
      <c r="B37" s="1" t="n"/>
      <c r="C37" s="1" t="n"/>
      <c r="D37" s="1" t="n"/>
      <c r="E37" s="1" t="n"/>
      <c r="F37" s="1" t="n"/>
      <c r="G37" s="1" t="n"/>
      <c r="H37" s="1" t="n"/>
      <c r="I37" s="1" t="n"/>
      <c r="J37" s="1" t="n"/>
      <c r="K37" s="1" t="n"/>
    </row>
    <row r="38" ht="12.75" customHeight="1" s="588">
      <c r="A38" s="1" t="n"/>
      <c r="B38" s="1" t="n"/>
      <c r="C38" s="1" t="n"/>
      <c r="D38" s="1" t="n"/>
      <c r="E38" s="1" t="n"/>
      <c r="F38" s="1" t="n"/>
      <c r="G38" s="1" t="n"/>
      <c r="H38" s="1" t="n"/>
      <c r="I38" s="1" t="n"/>
      <c r="J38" s="1" t="n"/>
      <c r="K38" s="1" t="n"/>
    </row>
    <row r="39" ht="12.75" customHeight="1" s="588">
      <c r="A39" s="1" t="n"/>
      <c r="B39" s="1" t="n"/>
      <c r="C39" s="1" t="n"/>
      <c r="D39" s="1" t="n"/>
      <c r="E39" s="1" t="n"/>
      <c r="F39" s="1" t="n"/>
      <c r="G39" s="1" t="n"/>
      <c r="H39" s="1" t="n"/>
      <c r="I39" s="1" t="n"/>
      <c r="J39" s="1" t="n"/>
      <c r="K39" s="1" t="n"/>
      <c r="L39" s="16" t="n"/>
      <c r="M39" s="16" t="n"/>
      <c r="N39" s="16" t="n"/>
      <c r="O39" s="16" t="n"/>
      <c r="P39" s="16" t="n"/>
      <c r="Q39" s="16" t="n"/>
      <c r="R39" s="16" t="n"/>
      <c r="S39" s="16" t="n"/>
      <c r="T39" s="16" t="n"/>
      <c r="U39" s="16" t="n"/>
      <c r="V39" s="16" t="n"/>
      <c r="W39" s="16" t="n"/>
      <c r="X39" s="16" t="n"/>
      <c r="Y39" s="16" t="n"/>
      <c r="Z39" s="16" t="n"/>
    </row>
    <row r="40" ht="12.75" customHeight="1" s="588">
      <c r="A40" s="1" t="n"/>
      <c r="B40" s="1" t="n"/>
      <c r="C40" s="1" t="n"/>
      <c r="D40" s="1" t="n"/>
      <c r="E40" s="1" t="n"/>
      <c r="F40" s="131" t="inlineStr">
        <is>
          <t>Macroentorno: análisis PEST</t>
        </is>
      </c>
      <c r="G40" s="1" t="n"/>
      <c r="H40" s="1" t="n"/>
      <c r="I40" s="1" t="n"/>
      <c r="J40" s="1" t="n"/>
      <c r="K40" s="1" t="n"/>
    </row>
    <row r="41" ht="12.75" customHeight="1" s="588">
      <c r="A41" s="1" t="n"/>
      <c r="B41" s="1" t="n"/>
      <c r="C41" s="1" t="n"/>
      <c r="D41" s="1" t="n"/>
      <c r="E41" s="1" t="n"/>
      <c r="F41" s="1" t="n"/>
      <c r="G41" s="1" t="n"/>
      <c r="H41" s="1" t="n"/>
      <c r="I41" s="1" t="n"/>
      <c r="J41" s="1" t="n"/>
      <c r="K41" s="1" t="n"/>
    </row>
    <row r="42" ht="15.75" customHeight="1" s="588">
      <c r="A42" s="1" t="n"/>
      <c r="B42" s="56" t="inlineStr">
        <is>
          <t>Factores Político-Legales</t>
        </is>
      </c>
      <c r="C42" s="639" t="inlineStr">
        <is>
          <t>LSSI-CE (Ley 34/2002): avisos legales, cookies y comunicaciones comerciales.
RGPD (UE) 2016/679 y LOPDGDD (LO 3/2018): base jurídica, contratos de encargado de tratamiento con cada cliente, registro de actividades.
Ley 18/2022 "Crea y Crece" + Verifactu (RD 1007/2023): factura electrónica B2B y software de facturación certificado. Genera demanda de servicio y obliga también al propio negocio.
Reglamento Europeo de IA (2024): obligaciones de transparencia si se usan modelos generativos en entregables de cliente.
Kit Digital: cerrado a nuevas solicitudes desde octubre de 2025; siguen vivos bonos concedidos pendientes de ejecutar (Orden TDF/39/2026 amplia plazos). Ser Agente Digitalizador adherido sigue siendo una vía de entrada.</t>
        </is>
      </c>
      <c r="D42" s="593" t="n"/>
      <c r="E42" s="593" t="n"/>
      <c r="F42" s="593" t="n"/>
      <c r="G42" s="593" t="n"/>
      <c r="H42" s="593" t="n"/>
      <c r="I42" s="593" t="n"/>
      <c r="J42" s="593" t="n"/>
      <c r="K42" s="594" t="n"/>
    </row>
    <row r="43" ht="12.75" customHeight="1" s="588">
      <c r="A43" s="1" t="n"/>
      <c r="B43" s="1" t="n"/>
      <c r="C43" s="595" t="n"/>
      <c r="K43" s="596" t="n"/>
    </row>
    <row r="44" ht="12.75" customHeight="1" s="588">
      <c r="A44" s="1" t="n"/>
      <c r="B44" s="1" t="n"/>
      <c r="C44" s="595" t="n"/>
      <c r="K44" s="596" t="n"/>
    </row>
    <row r="45" ht="12.75" customHeight="1" s="588">
      <c r="A45" s="1" t="n"/>
      <c r="B45" s="1" t="n"/>
      <c r="C45" s="595" t="n"/>
      <c r="K45" s="596" t="n"/>
    </row>
    <row r="46" ht="12.75" customHeight="1" s="588">
      <c r="A46" s="1" t="n"/>
      <c r="B46" s="1" t="n"/>
      <c r="C46" s="595" t="n"/>
      <c r="K46" s="596" t="n"/>
      <c r="L46" s="16" t="n"/>
      <c r="M46" s="16" t="n"/>
      <c r="N46" s="16" t="n"/>
      <c r="O46" s="16" t="n"/>
      <c r="P46" s="16" t="n"/>
      <c r="Q46" s="16" t="n"/>
      <c r="R46" s="16" t="n"/>
      <c r="S46" s="16" t="n"/>
      <c r="T46" s="16" t="n"/>
      <c r="U46" s="16" t="n"/>
      <c r="V46" s="16" t="n"/>
      <c r="W46" s="16" t="n"/>
      <c r="X46" s="16" t="n"/>
      <c r="Y46" s="16" t="n"/>
      <c r="Z46" s="16" t="n"/>
    </row>
    <row r="47" ht="12.75" customHeight="1" s="588">
      <c r="A47" s="1" t="n"/>
      <c r="B47" s="1" t="n"/>
      <c r="C47" s="595" t="n"/>
      <c r="K47" s="596" t="n"/>
    </row>
    <row r="48" ht="12.75" customHeight="1" s="588">
      <c r="A48" s="1" t="n"/>
      <c r="B48" s="1" t="n"/>
      <c r="C48" s="597" t="n"/>
      <c r="D48" s="598" t="n"/>
      <c r="E48" s="598" t="n"/>
      <c r="F48" s="598" t="n"/>
      <c r="G48" s="598" t="n"/>
      <c r="H48" s="598" t="n"/>
      <c r="I48" s="598" t="n"/>
      <c r="J48" s="598" t="n"/>
      <c r="K48" s="599" t="n"/>
    </row>
    <row r="49" ht="15.75" customHeight="1" s="588">
      <c r="A49" s="1" t="n"/>
      <c r="B49" s="56" t="inlineStr">
        <is>
          <t>Factores Económicos</t>
        </is>
      </c>
      <c r="C49" s="639" t="inlineStr">
        <is>
          <t>Inflación prevista en España del 3,6% en 2026 y 2,6% en 2027 (Banco de España, junio 2026): presiona costes de licencias y salarios, no tanto los precios de venta.
Cotización de autónomos por ingresos reales: 15 tramos congelados en 2026, de 200 a 601,57 EUR/mes, con regularización anual. Tarifa plana de 80 EUR/mes los 12 primeros meses.
El Bierzo en transición justa post-carbon: fondos de reindustrialización y un tejido de micronegocios que se renueva.
Ponferrada crece en población por tercer año consecutivo (63.444 habitantes a 1/1/2026, ~64.000 en abril), tras 12 años de caida. Mercado local pequeño pero estabilizado.
Riesgo real: baja disposición a pagar del micronegocio local y competencia de precio de plataformas con IA.</t>
        </is>
      </c>
      <c r="D49" s="593" t="n"/>
      <c r="E49" s="593" t="n"/>
      <c r="F49" s="593" t="n"/>
      <c r="G49" s="593" t="n"/>
      <c r="H49" s="593" t="n"/>
      <c r="I49" s="593" t="n"/>
      <c r="J49" s="593" t="n"/>
      <c r="K49" s="594" t="n"/>
    </row>
    <row r="50" ht="12.75" customHeight="1" s="588">
      <c r="A50" s="1" t="n"/>
      <c r="B50" s="1" t="n"/>
      <c r="C50" s="595" t="n"/>
      <c r="K50" s="596" t="n"/>
    </row>
    <row r="51" ht="12.75" customHeight="1" s="588">
      <c r="A51" s="1" t="n"/>
      <c r="B51" s="1" t="n"/>
      <c r="C51" s="595" t="n"/>
      <c r="K51" s="596" t="n"/>
    </row>
    <row r="52" ht="12.75" customHeight="1" s="588">
      <c r="A52" s="1" t="n"/>
      <c r="B52" s="1" t="n"/>
      <c r="C52" s="595" t="n"/>
      <c r="K52" s="596" t="n"/>
      <c r="L52" s="16" t="n"/>
      <c r="M52" s="16" t="n"/>
      <c r="N52" s="16" t="n"/>
      <c r="O52" s="16" t="n"/>
      <c r="P52" s="16" t="n"/>
      <c r="Q52" s="16" t="n"/>
      <c r="R52" s="16" t="n"/>
      <c r="S52" s="16" t="n"/>
      <c r="T52" s="16" t="n"/>
      <c r="U52" s="16" t="n"/>
      <c r="V52" s="16" t="n"/>
      <c r="W52" s="16" t="n"/>
      <c r="X52" s="16" t="n"/>
      <c r="Y52" s="16" t="n"/>
      <c r="Z52" s="16" t="n"/>
    </row>
    <row r="53" ht="12.75" customHeight="1" s="588">
      <c r="A53" s="1" t="n"/>
      <c r="B53" s="1" t="n"/>
      <c r="C53" s="595" t="n"/>
      <c r="K53" s="596" t="n"/>
    </row>
    <row r="54" ht="12.75" customHeight="1" s="588">
      <c r="A54" s="1" t="n"/>
      <c r="B54" s="1" t="n"/>
      <c r="C54" s="595" t="n"/>
      <c r="K54" s="596" t="n"/>
    </row>
    <row r="55" ht="12.75" customHeight="1" s="588">
      <c r="A55" s="1" t="n"/>
      <c r="B55" s="1" t="n"/>
      <c r="C55" s="597" t="n"/>
      <c r="D55" s="598" t="n"/>
      <c r="E55" s="598" t="n"/>
      <c r="F55" s="598" t="n"/>
      <c r="G55" s="598" t="n"/>
      <c r="H55" s="598" t="n"/>
      <c r="I55" s="598" t="n"/>
      <c r="J55" s="598" t="n"/>
      <c r="K55" s="599" t="n"/>
    </row>
    <row r="56" ht="15.75" customHeight="1" s="588">
      <c r="A56" s="1" t="n"/>
      <c r="B56" s="56" t="inlineStr">
        <is>
          <t>Factores Socioculturales</t>
        </is>
      </c>
      <c r="C56" s="639" t="inlineStr">
        <is>
          <t>El cliente pequeño ya no pregunta "necesito una web?", pregunta "por qué la mía no aparece en Google?". El eje de conversación se ha desplazado de existir a competir.
WhatsApp e Instagram son el canal real de atención del micronegocio berciano; la web actua como prueba de solvencia, no como único escaparate.
Preferencia marcada por el proveedor cercano y con cara visible: en un mercado de 63.000 habitantes la recomendación boca a boca pesa más que cualquier campaña.
Enoturismo y Camino de Santiago traen demanda estacional de presencia digital en inglés para bodegas, alojamientos y hostelería.</t>
        </is>
      </c>
      <c r="D56" s="593" t="n"/>
      <c r="E56" s="593" t="n"/>
      <c r="F56" s="593" t="n"/>
      <c r="G56" s="593" t="n"/>
      <c r="H56" s="593" t="n"/>
      <c r="I56" s="593" t="n"/>
      <c r="J56" s="593" t="n"/>
      <c r="K56" s="594" t="n"/>
    </row>
    <row r="57" ht="12.75" customHeight="1" s="588">
      <c r="A57" s="1" t="n"/>
      <c r="B57" s="1" t="n"/>
      <c r="C57" s="595" t="n"/>
      <c r="K57" s="596" t="n"/>
    </row>
    <row r="58" ht="12.75" customHeight="1" s="588">
      <c r="A58" s="1" t="n"/>
      <c r="B58" s="1" t="n"/>
      <c r="C58" s="595" t="n"/>
      <c r="K58" s="596" t="n"/>
    </row>
    <row r="59" ht="12.75" customHeight="1" s="588">
      <c r="A59" s="1" t="n"/>
      <c r="B59" s="1" t="n"/>
      <c r="C59" s="595" t="n"/>
      <c r="K59" s="596" t="n"/>
      <c r="L59" s="16" t="n"/>
      <c r="M59" s="16" t="n"/>
      <c r="N59" s="16" t="n"/>
      <c r="O59" s="16" t="n"/>
      <c r="P59" s="16" t="n"/>
      <c r="Q59" s="16" t="n"/>
      <c r="R59" s="16" t="n"/>
      <c r="S59" s="16" t="n"/>
      <c r="T59" s="16" t="n"/>
      <c r="U59" s="16" t="n"/>
      <c r="V59" s="16" t="n"/>
      <c r="W59" s="16" t="n"/>
      <c r="X59" s="16" t="n"/>
      <c r="Y59" s="16" t="n"/>
      <c r="Z59" s="16" t="n"/>
    </row>
    <row r="60" ht="12.75" customHeight="1" s="588">
      <c r="A60" s="1" t="n"/>
      <c r="B60" s="1" t="n"/>
      <c r="C60" s="595" t="n"/>
      <c r="K60" s="596" t="n"/>
    </row>
    <row r="61" ht="12.75" customHeight="1" s="588">
      <c r="A61" s="1" t="n"/>
      <c r="B61" s="1" t="n"/>
      <c r="C61" s="595" t="n"/>
      <c r="K61" s="596" t="n"/>
    </row>
    <row r="62" ht="12.75" customHeight="1" s="588">
      <c r="A62" s="1" t="n"/>
      <c r="B62" s="1" t="n"/>
      <c r="C62" s="597" t="n"/>
      <c r="D62" s="598" t="n"/>
      <c r="E62" s="598" t="n"/>
      <c r="F62" s="598" t="n"/>
      <c r="G62" s="598" t="n"/>
      <c r="H62" s="598" t="n"/>
      <c r="I62" s="598" t="n"/>
      <c r="J62" s="598" t="n"/>
      <c r="K62" s="599" t="n"/>
    </row>
    <row r="63" ht="15.75" customHeight="1" s="588">
      <c r="A63" s="1" t="n"/>
      <c r="B63" s="56" t="inlineStr">
        <is>
          <t>Factores Tecnológicos</t>
        </is>
      </c>
      <c r="C63" s="639" t="inlineStr">
        <is>
          <t>IA generativa: reduce el tiempo de producción de textos, imágenes y maquetación. Oportunidad como herramienta interna (más margen por proyecto) y amenaza como sustitutivo (Wix ADI, Framer, Lovable, v0, Canva Websites permiten a un profano publicar una web en horas).
Consecuencia estratégica: el valor deja de estar en maquetar y pasa a estar en diagnóstico, contenido con conocimiento local, integración (reservas, pagos, facturación) y continuidad.
WordPress sigue siendo el estandar del segmento; el ecosistema de mantenimiento y seguridad es una fuente de ingreso recurrente estable.
Nuevo vector 2026: optimización para respuestas de IA (que la ficha del negocio sea citable por asistentes conversacionales), aún sin proveedor local que lo ofrezca.</t>
        </is>
      </c>
      <c r="D63" s="593" t="n"/>
      <c r="E63" s="593" t="n"/>
      <c r="F63" s="593" t="n"/>
      <c r="G63" s="593" t="n"/>
      <c r="H63" s="593" t="n"/>
      <c r="I63" s="593" t="n"/>
      <c r="J63" s="593" t="n"/>
      <c r="K63" s="594" t="n"/>
    </row>
    <row r="64" ht="12.75" customHeight="1" s="588">
      <c r="A64" s="1" t="n"/>
      <c r="B64" s="1" t="n"/>
      <c r="C64" s="595" t="n"/>
      <c r="K64" s="596" t="n"/>
    </row>
    <row r="65" ht="12.75" customHeight="1" s="588">
      <c r="A65" s="1" t="n"/>
      <c r="B65" s="1" t="n"/>
      <c r="C65" s="595" t="n"/>
      <c r="K65" s="596" t="n"/>
    </row>
    <row r="66" ht="12.75" customHeight="1" s="588">
      <c r="A66" s="1" t="n"/>
      <c r="B66" s="1" t="n"/>
      <c r="C66" s="595" t="n"/>
      <c r="K66" s="596" t="n"/>
      <c r="L66" s="16" t="n"/>
      <c r="M66" s="16" t="n"/>
      <c r="N66" s="16" t="n"/>
      <c r="O66" s="16" t="n"/>
      <c r="P66" s="16" t="n"/>
      <c r="Q66" s="16" t="n"/>
      <c r="R66" s="16" t="n"/>
      <c r="S66" s="16" t="n"/>
      <c r="T66" s="16" t="n"/>
      <c r="U66" s="16" t="n"/>
      <c r="V66" s="16" t="n"/>
      <c r="W66" s="16" t="n"/>
      <c r="X66" s="16" t="n"/>
      <c r="Y66" s="16" t="n"/>
      <c r="Z66" s="16" t="n"/>
    </row>
    <row r="67" ht="12.75" customHeight="1" s="588">
      <c r="A67" s="1" t="n"/>
      <c r="B67" s="1" t="n"/>
      <c r="C67" s="595" t="n"/>
      <c r="K67" s="596" t="n"/>
    </row>
    <row r="68" ht="12.75" customHeight="1" s="588">
      <c r="A68" s="1" t="n"/>
      <c r="B68" s="1" t="n"/>
      <c r="C68" s="595" t="n"/>
      <c r="K68" s="596" t="n"/>
    </row>
    <row r="69" ht="12.75" customHeight="1" s="588">
      <c r="A69" s="1" t="n"/>
      <c r="B69" s="1" t="n"/>
      <c r="C69" s="597" t="n"/>
      <c r="D69" s="598" t="n"/>
      <c r="E69" s="598" t="n"/>
      <c r="F69" s="598" t="n"/>
      <c r="G69" s="598" t="n"/>
      <c r="H69" s="598" t="n"/>
      <c r="I69" s="598" t="n"/>
      <c r="J69" s="598" t="n"/>
      <c r="K69" s="599" t="n"/>
    </row>
    <row r="70" ht="12.75" customHeight="1" s="588">
      <c r="A70" s="1" t="n"/>
      <c r="B70" s="1" t="n"/>
      <c r="C70" s="1" t="n"/>
      <c r="D70" s="1" t="n"/>
      <c r="E70" s="1" t="n"/>
      <c r="F70" s="1" t="n"/>
      <c r="G70" s="1" t="n"/>
      <c r="H70" s="1" t="n"/>
      <c r="I70" s="1" t="n"/>
      <c r="J70" s="1" t="n"/>
      <c r="K70" s="1" t="n"/>
    </row>
    <row r="71" ht="12.75" customHeight="1" s="588">
      <c r="A71" s="1" t="n"/>
      <c r="B71" s="1" t="n"/>
      <c r="C71" s="1" t="n"/>
      <c r="D71" s="1" t="n"/>
      <c r="E71" s="1" t="n"/>
      <c r="F71" s="1" t="n"/>
      <c r="G71" s="1" t="n"/>
      <c r="H71" s="1" t="n"/>
      <c r="I71" s="1" t="n"/>
      <c r="J71" s="1" t="n"/>
      <c r="K71" s="1" t="n"/>
    </row>
    <row r="72" ht="12.75" customHeight="1" s="588">
      <c r="A72" s="8" t="inlineStr">
        <is>
          <t>¿POR QUÉ?</t>
        </is>
      </c>
      <c r="B72" s="1" t="n"/>
      <c r="C72" s="1" t="n"/>
      <c r="D72" s="1" t="n"/>
      <c r="E72" s="1" t="n"/>
      <c r="F72" s="1" t="n"/>
      <c r="G72" s="1" t="n"/>
      <c r="H72" s="1" t="n"/>
      <c r="I72" s="1" t="n"/>
      <c r="J72" s="1" t="n"/>
      <c r="K72" s="1" t="n"/>
    </row>
    <row r="73" ht="12.75" customHeight="1" s="588">
      <c r="A73" s="1" t="n"/>
      <c r="B73" s="1" t="n"/>
      <c r="C73" s="1" t="n"/>
      <c r="D73" s="1" t="n"/>
      <c r="E73" s="1" t="n"/>
      <c r="F73" s="1" t="n"/>
      <c r="G73" s="1" t="n"/>
      <c r="H73" s="1" t="n"/>
      <c r="I73" s="1" t="n"/>
      <c r="J73" s="1" t="n"/>
      <c r="K73" s="1" t="n"/>
    </row>
    <row r="74" ht="12.75" customHeight="1" s="588">
      <c r="A74" s="1" t="n"/>
      <c r="B74" s="1" t="n"/>
      <c r="C74" s="1" t="n"/>
      <c r="D74" s="1" t="n"/>
      <c r="E74" s="1" t="n"/>
      <c r="F74" s="1" t="n"/>
      <c r="G74" s="1" t="n"/>
      <c r="H74" s="1" t="n"/>
      <c r="I74" s="1" t="n"/>
      <c r="J74" s="1" t="n"/>
      <c r="K74" s="1" t="n"/>
      <c r="L74" s="16" t="n"/>
      <c r="M74" s="16" t="n"/>
      <c r="N74" s="16" t="n"/>
      <c r="O74" s="16" t="n"/>
      <c r="P74" s="16" t="n"/>
      <c r="Q74" s="16" t="n"/>
      <c r="R74" s="16" t="n"/>
      <c r="S74" s="16" t="n"/>
      <c r="T74" s="16" t="n"/>
      <c r="U74" s="16" t="n"/>
      <c r="V74" s="16" t="n"/>
      <c r="W74" s="16" t="n"/>
      <c r="X74" s="16" t="n"/>
      <c r="Y74" s="16" t="n"/>
      <c r="Z74" s="16" t="n"/>
    </row>
    <row r="75" ht="12.75" customHeight="1" s="588">
      <c r="A75" s="1" t="n"/>
      <c r="B75" s="1" t="n"/>
      <c r="C75" s="1" t="n"/>
      <c r="D75" s="1" t="n"/>
      <c r="E75" s="1" t="n"/>
      <c r="F75" s="62" t="inlineStr">
        <is>
          <t>Microentorno: Análisis de PORTER</t>
        </is>
      </c>
      <c r="G75" s="1" t="n"/>
      <c r="H75" s="1" t="n"/>
      <c r="I75" s="1" t="n"/>
      <c r="J75" s="1" t="n"/>
      <c r="K75" s="1" t="n"/>
    </row>
    <row r="76" ht="12.75" customHeight="1" s="588">
      <c r="A76" s="1" t="n"/>
      <c r="B76" s="1" t="n"/>
      <c r="C76" s="1" t="n"/>
      <c r="D76" s="1" t="n"/>
      <c r="E76" s="1" t="n"/>
      <c r="F76" s="1" t="n"/>
      <c r="G76" s="1" t="n"/>
      <c r="H76" s="1" t="n"/>
      <c r="I76" s="1" t="n"/>
      <c r="J76" s="1" t="n"/>
      <c r="K76" s="1" t="n"/>
    </row>
    <row r="77" ht="12.75" customHeight="1" s="588">
      <c r="A77" s="1" t="n"/>
      <c r="B77" s="1" t="n"/>
      <c r="C77" s="1" t="n"/>
      <c r="D77" s="1" t="n"/>
      <c r="E77" s="1" t="n"/>
      <c r="F77" s="1" t="n"/>
      <c r="G77" s="1" t="n"/>
      <c r="H77" s="1" t="n"/>
      <c r="I77" s="1" t="n"/>
      <c r="J77" s="1" t="n"/>
      <c r="K77" s="1" t="n"/>
    </row>
    <row r="78" ht="12.75" customHeight="1" s="588">
      <c r="A78" s="1" t="n"/>
      <c r="B78" s="1" t="n"/>
      <c r="C78" s="1" t="n"/>
      <c r="D78" s="1" t="n"/>
      <c r="E78" s="1" t="n"/>
      <c r="F78" s="133" t="inlineStr">
        <is>
          <t>Posibles nuevos competidores</t>
        </is>
      </c>
      <c r="G78" s="1" t="n"/>
      <c r="H78" s="1" t="n"/>
      <c r="I78" s="1" t="n"/>
      <c r="J78" s="1" t="n"/>
      <c r="K78" s="1" t="n"/>
    </row>
    <row r="79" ht="12.75" customHeight="1" s="588">
      <c r="A79" s="1" t="n"/>
      <c r="B79" s="1" t="n"/>
      <c r="C79" s="1" t="n"/>
      <c r="D79" s="640" t="inlineStr">
        <is>
          <t>MUY ALTA. Barreras de entrada casi nulas y, desde 2024-2025, los constructores web con IA permiten que el propio cliente o un aficionado publique un sitio en horas. La defensa no es técnica: es marca local, cartera de mantenimiento y conocimiento del sector del cliente.</t>
        </is>
      </c>
      <c r="E79" s="593" t="n"/>
      <c r="F79" s="593" t="n"/>
      <c r="G79" s="593" t="n"/>
      <c r="H79" s="594" t="n"/>
      <c r="I79" s="1" t="n"/>
      <c r="J79" s="1" t="n"/>
      <c r="K79" s="1" t="n"/>
    </row>
    <row r="80" ht="12.75" customHeight="1" s="588">
      <c r="A80" s="1" t="n"/>
      <c r="B80" s="1" t="n"/>
      <c r="C80" s="1" t="n"/>
      <c r="D80" s="595" t="n"/>
      <c r="H80" s="596" t="n"/>
      <c r="I80" s="1" t="n"/>
      <c r="J80" s="1" t="n"/>
      <c r="K80" s="1" t="n"/>
    </row>
    <row r="81" ht="12.75" customHeight="1" s="588">
      <c r="A81" s="1" t="n"/>
      <c r="B81" s="1" t="n"/>
      <c r="C81" s="1" t="n"/>
      <c r="D81" s="595" t="n"/>
      <c r="H81" s="596" t="n"/>
      <c r="I81" s="1" t="n"/>
      <c r="J81" s="1" t="n"/>
      <c r="K81" s="1" t="n"/>
    </row>
    <row r="82" ht="12.75" customHeight="1" s="588">
      <c r="A82" s="1" t="n"/>
      <c r="B82" s="1" t="n"/>
      <c r="C82" s="1" t="n"/>
      <c r="D82" s="595" t="n"/>
      <c r="H82" s="596" t="n"/>
      <c r="I82" s="1" t="n"/>
      <c r="J82" s="1" t="n"/>
      <c r="K82" s="1" t="n"/>
    </row>
    <row r="83" ht="12.75" customHeight="1" s="588">
      <c r="A83" s="1" t="n"/>
      <c r="B83" s="1" t="n"/>
      <c r="C83" s="1" t="n"/>
      <c r="D83" s="597" t="n"/>
      <c r="E83" s="598" t="n"/>
      <c r="F83" s="598" t="n"/>
      <c r="G83" s="598" t="n"/>
      <c r="H83" s="599" t="n"/>
      <c r="I83" s="1" t="n"/>
      <c r="J83" s="1" t="n"/>
      <c r="K83" s="1" t="n"/>
    </row>
    <row r="84" ht="12.75" customHeight="1" s="588">
      <c r="A84" s="1" t="n"/>
      <c r="B84" s="133" t="n"/>
      <c r="C84" s="56" t="n"/>
      <c r="D84" s="1" t="n"/>
      <c r="E84" s="1" t="n"/>
      <c r="F84" s="1" t="n"/>
      <c r="G84" s="1" t="n"/>
      <c r="H84" s="1" t="n"/>
      <c r="I84" s="135" t="n"/>
      <c r="J84" s="1" t="n"/>
      <c r="K84" s="1" t="n"/>
    </row>
    <row r="85" ht="12.75" customHeight="1" s="588">
      <c r="A85" s="641" t="inlineStr">
        <is>
          <t>Dependencia de Proveedores</t>
        </is>
      </c>
      <c r="B85" s="642" t="inlineStr">
        <is>
          <t>Proveedores fácilmente sustituibles: BAJA dependencia</t>
        </is>
      </c>
      <c r="C85" s="594" t="n"/>
      <c r="D85" s="1" t="n"/>
      <c r="E85" s="1" t="n"/>
      <c r="F85" s="1" t="n"/>
      <c r="G85" s="1" t="n"/>
      <c r="H85" s="1" t="n"/>
      <c r="I85" s="643" t="inlineStr">
        <is>
          <t>Cliente muy sensible al precio en el proyecto inicial</t>
        </is>
      </c>
      <c r="J85" s="594" t="n"/>
      <c r="K85" s="644" t="inlineStr">
        <is>
          <t>ALTA en proyecto puntual, BAJA en cuota de mantenimiento: una vez el sitio está bajo contrato, el coste de cambiar de proveedor supera el ahorro. Es el argumento central para empujar la venta hacia lo recurrente.</t>
        </is>
      </c>
    </row>
    <row r="86" ht="15.75" customHeight="1" s="588">
      <c r="A86" s="596" t="n"/>
      <c r="B86" s="595" t="n"/>
      <c r="C86" s="596" t="n"/>
      <c r="D86" s="1" t="n"/>
      <c r="E86" s="1" t="n"/>
      <c r="F86" s="133" t="inlineStr">
        <is>
          <t>Situación actual</t>
        </is>
      </c>
      <c r="G86" s="1" t="n"/>
      <c r="H86" s="1" t="n"/>
      <c r="I86" s="595" t="n"/>
      <c r="J86" s="596" t="n"/>
      <c r="K86" s="645" t="n"/>
    </row>
    <row r="87" ht="12.75" customHeight="1" s="588">
      <c r="A87" s="596" t="n"/>
      <c r="B87" s="595" t="n"/>
      <c r="C87" s="596" t="n"/>
      <c r="D87" s="1" t="n"/>
      <c r="E87" s="643" t="inlineStr">
        <is>
          <t>Sector muy competitivo y fragmentado. En El Bierzo conviven cuatro perfiles: freelance local a precio bajo, agencia de marketing de Ponferrada o León con servicio completo, proveedores nacionales de bajo coste con cuota mensual (BeeDigital, Webempresa, Wix) y, desde 2024, plataformas de IA que compiten a coste prácticamente cero. Ninguno domina el nicho de "mantenimiento continuado + SEO local con proveedor presencial".</t>
        </is>
      </c>
      <c r="F87" s="593" t="n"/>
      <c r="G87" s="594" t="n"/>
      <c r="H87" s="1" t="n"/>
      <c r="I87" s="595" t="n"/>
      <c r="J87" s="596" t="n"/>
      <c r="K87" s="645" t="n"/>
    </row>
    <row r="88" ht="12.75" customHeight="1" s="588">
      <c r="A88" s="596" t="n"/>
      <c r="B88" s="595" t="n"/>
      <c r="C88" s="596" t="n"/>
      <c r="D88" s="1" t="n"/>
      <c r="E88" s="595" t="n"/>
      <c r="G88" s="596" t="n"/>
      <c r="H88" s="1" t="n"/>
      <c r="I88" s="595" t="n"/>
      <c r="J88" s="596" t="n"/>
      <c r="K88" s="645" t="n"/>
    </row>
    <row r="89" ht="12.75" customHeight="1" s="588">
      <c r="A89" s="596" t="n"/>
      <c r="B89" s="595" t="n"/>
      <c r="C89" s="596" t="n"/>
      <c r="D89" s="1" t="n"/>
      <c r="E89" s="595" t="n"/>
      <c r="G89" s="596" t="n"/>
      <c r="H89" s="1" t="n"/>
      <c r="I89" s="595" t="n"/>
      <c r="J89" s="596" t="n"/>
      <c r="K89" s="645" t="n"/>
    </row>
    <row r="90" ht="12.75" customHeight="1" s="588">
      <c r="A90" s="596" t="n"/>
      <c r="B90" s="595" t="n"/>
      <c r="C90" s="596" t="n"/>
      <c r="D90" s="1" t="n"/>
      <c r="E90" s="595" t="n"/>
      <c r="G90" s="596" t="n"/>
      <c r="H90" s="1" t="n"/>
      <c r="I90" s="595" t="n"/>
      <c r="J90" s="596" t="n"/>
      <c r="K90" s="645" t="n"/>
    </row>
    <row r="91" ht="12.75" customHeight="1" s="588">
      <c r="A91" s="596" t="n"/>
      <c r="B91" s="595" t="n"/>
      <c r="C91" s="596" t="n"/>
      <c r="D91" s="1" t="n"/>
      <c r="E91" s="595" t="n"/>
      <c r="G91" s="596" t="n"/>
      <c r="H91" s="1" t="n"/>
      <c r="I91" s="595" t="n"/>
      <c r="J91" s="596" t="n"/>
      <c r="K91" s="645" t="n"/>
    </row>
    <row r="92" ht="12.75" customHeight="1" s="588">
      <c r="A92" s="596" t="n"/>
      <c r="B92" s="595" t="n"/>
      <c r="C92" s="596" t="n"/>
      <c r="D92" s="1" t="n"/>
      <c r="E92" s="595" t="n"/>
      <c r="G92" s="596" t="n"/>
      <c r="H92" s="1" t="n"/>
      <c r="I92" s="595" t="n"/>
      <c r="J92" s="596" t="n"/>
      <c r="K92" s="645" t="n"/>
    </row>
    <row r="93" ht="12.75" customHeight="1" s="588">
      <c r="A93" s="596" t="n"/>
      <c r="B93" s="595" t="n"/>
      <c r="C93" s="596" t="n"/>
      <c r="D93" s="1" t="n"/>
      <c r="E93" s="597" t="n"/>
      <c r="F93" s="598" t="n"/>
      <c r="G93" s="599" t="n"/>
      <c r="H93" s="1" t="n"/>
      <c r="I93" s="595" t="n"/>
      <c r="J93" s="596" t="n"/>
      <c r="K93" s="645" t="n"/>
    </row>
    <row r="94" ht="15.75" customHeight="1" s="588">
      <c r="A94" s="596" t="n"/>
      <c r="B94" s="595" t="n"/>
      <c r="C94" s="596" t="n"/>
      <c r="D94" s="1" t="n"/>
      <c r="E94" s="1" t="n"/>
      <c r="F94" s="133" t="inlineStr">
        <is>
          <t>de la  competencia en el Mercado</t>
        </is>
      </c>
      <c r="G94" s="1" t="n"/>
      <c r="H94" s="1" t="n"/>
      <c r="I94" s="595" t="n"/>
      <c r="J94" s="596" t="n"/>
      <c r="K94" s="645" t="n"/>
    </row>
    <row r="95" ht="12.75" customHeight="1" s="588">
      <c r="A95" s="596" t="n"/>
      <c r="B95" s="597" t="n"/>
      <c r="C95" s="599" t="n"/>
      <c r="D95" s="1" t="n"/>
      <c r="E95" s="1" t="n"/>
      <c r="F95" s="1" t="n"/>
      <c r="G95" s="1" t="n"/>
      <c r="H95" s="1" t="n"/>
      <c r="I95" s="597" t="n"/>
      <c r="J95" s="599" t="n"/>
      <c r="K95" s="645" t="n"/>
    </row>
    <row r="96" ht="12.75" customHeight="1" s="588">
      <c r="A96" s="1" t="n"/>
      <c r="B96" s="1" t="n"/>
      <c r="C96" s="1" t="n"/>
      <c r="D96" s="1" t="n"/>
      <c r="E96" s="1" t="n"/>
      <c r="F96" s="1" t="n"/>
      <c r="G96" s="1" t="n"/>
      <c r="H96" s="1" t="n"/>
      <c r="I96" s="1" t="n"/>
      <c r="J96" s="1" t="n"/>
      <c r="K96" s="1" t="n"/>
    </row>
    <row r="97" ht="12.75" customHeight="1" s="588">
      <c r="A97" s="1" t="n"/>
      <c r="B97" s="1" t="n"/>
      <c r="C97" s="1" t="n"/>
      <c r="D97" s="642" t="inlineStr">
        <is>
          <t>Plataformas SaaS de autoservicio y constructores con IA (Wix, Squarespace, Shopify, Framer, Canva Websites). Cubren el 80% de la necesidad al 10% del precio para el cliente que solo quiere existir. No cubren integración, contenido local, ni responsabilidad sobre el resultado.</t>
        </is>
      </c>
      <c r="E97" s="593" t="n"/>
      <c r="F97" s="593" t="n"/>
      <c r="G97" s="593" t="n"/>
      <c r="H97" s="594" t="n"/>
      <c r="I97" s="1" t="n"/>
      <c r="J97" s="1" t="n"/>
      <c r="K97" s="1" t="n"/>
    </row>
    <row r="98" ht="12.75" customHeight="1" s="588">
      <c r="A98" s="1" t="n"/>
      <c r="B98" s="1" t="n"/>
      <c r="C98" s="1" t="n"/>
      <c r="D98" s="595" t="n"/>
      <c r="H98" s="596" t="n"/>
      <c r="I98" s="1" t="n"/>
      <c r="J98" s="1" t="n"/>
      <c r="K98" s="1" t="n"/>
    </row>
    <row r="99" ht="12.75" customHeight="1" s="588">
      <c r="A99" s="1" t="n"/>
      <c r="B99" s="1" t="n"/>
      <c r="C99" s="1" t="n"/>
      <c r="D99" s="595" t="n"/>
      <c r="H99" s="596" t="n"/>
      <c r="I99" s="1" t="n"/>
      <c r="J99" s="1" t="n"/>
      <c r="K99" s="1" t="n"/>
    </row>
    <row r="100" ht="12.75" customHeight="1" s="588">
      <c r="A100" s="1" t="n"/>
      <c r="B100" s="1" t="n"/>
      <c r="C100" s="1" t="n"/>
      <c r="D100" s="595" t="n"/>
      <c r="H100" s="596" t="n"/>
      <c r="I100" s="1" t="n"/>
      <c r="J100" s="1" t="n"/>
      <c r="K100" s="1" t="n"/>
    </row>
    <row r="101" ht="12.75" customHeight="1" s="588">
      <c r="A101" s="1" t="n"/>
      <c r="B101" s="1" t="n"/>
      <c r="C101" s="1" t="n"/>
      <c r="D101" s="597" t="n"/>
      <c r="E101" s="598" t="n"/>
      <c r="F101" s="598" t="n"/>
      <c r="G101" s="598" t="n"/>
      <c r="H101" s="599" t="n"/>
      <c r="I101" s="1" t="n"/>
      <c r="J101" s="1" t="n"/>
      <c r="K101" s="1" t="n"/>
    </row>
    <row r="102" ht="12.75" customHeight="1" s="588">
      <c r="A102" s="1" t="n"/>
      <c r="B102" s="1" t="n"/>
      <c r="C102" s="1" t="n"/>
      <c r="D102" s="1" t="n"/>
      <c r="E102" s="1" t="n"/>
      <c r="F102" s="133" t="inlineStr">
        <is>
          <t>Posibles productos sustitutivos</t>
        </is>
      </c>
      <c r="G102" s="1" t="n"/>
      <c r="H102" s="1" t="n"/>
      <c r="I102" s="1" t="n"/>
      <c r="J102" s="1" t="n"/>
      <c r="K102" s="1" t="n"/>
    </row>
    <row r="103" ht="12.75" customHeight="1" s="588">
      <c r="A103" s="1" t="n"/>
      <c r="B103" s="1" t="n"/>
      <c r="C103" s="1" t="n"/>
      <c r="D103" s="1" t="n"/>
      <c r="E103" s="1" t="n"/>
      <c r="F103" s="1" t="n"/>
      <c r="G103" s="1" t="n"/>
      <c r="H103" s="1" t="n"/>
      <c r="I103" s="1" t="n"/>
      <c r="J103" s="1" t="n"/>
      <c r="K103" s="1" t="n"/>
    </row>
    <row r="104" ht="12.75" customHeight="1" s="588">
      <c r="A104" s="1" t="n"/>
      <c r="B104" s="1" t="n"/>
      <c r="C104" s="1" t="n"/>
      <c r="D104" s="1" t="n"/>
      <c r="E104" s="1" t="n"/>
      <c r="F104" s="1" t="n"/>
      <c r="G104" s="1" t="n"/>
      <c r="H104" s="1" t="n"/>
      <c r="I104" s="1" t="n"/>
      <c r="J104" s="1" t="n"/>
      <c r="K104" s="1" t="n"/>
    </row>
    <row r="105" ht="12.75" customHeight="1" s="588">
      <c r="A105" s="1" t="n"/>
      <c r="B105" s="1" t="n"/>
      <c r="C105" s="1" t="n"/>
      <c r="D105" s="1" t="n"/>
      <c r="E105" s="1" t="n"/>
      <c r="F105" s="1" t="n"/>
      <c r="G105" s="1" t="n"/>
      <c r="H105" s="1" t="n"/>
      <c r="I105" s="1" t="n"/>
      <c r="J105" s="1" t="n"/>
      <c r="K105" s="1" t="n"/>
    </row>
    <row r="106" ht="12.75" customHeight="1" s="588">
      <c r="A106" s="8" t="inlineStr">
        <is>
          <t>¿POR QUÉ?</t>
        </is>
      </c>
      <c r="B106" s="1" t="n"/>
      <c r="C106" s="1" t="n"/>
      <c r="D106" s="1" t="n"/>
      <c r="E106" s="1" t="n"/>
      <c r="F106" s="1" t="n"/>
      <c r="G106" s="1" t="n"/>
      <c r="H106" s="1" t="n"/>
      <c r="I106" s="1" t="n"/>
      <c r="J106" s="1" t="n"/>
      <c r="K106" s="1" t="n"/>
    </row>
    <row r="107" ht="12.75" customHeight="1" s="588">
      <c r="A107" s="1" t="n"/>
      <c r="B107" s="1" t="n"/>
      <c r="C107" s="1" t="n"/>
      <c r="D107" s="1" t="n"/>
      <c r="E107" s="1" t="n"/>
      <c r="F107" s="1" t="n"/>
      <c r="G107" s="1" t="n"/>
      <c r="H107" s="1" t="n"/>
      <c r="I107" s="1" t="n"/>
      <c r="J107" s="1" t="n"/>
      <c r="K107" s="1" t="n"/>
    </row>
    <row r="108" ht="12.75" customHeight="1" s="588">
      <c r="A108" s="1" t="n"/>
      <c r="B108" s="1" t="n"/>
      <c r="C108" s="1" t="n"/>
      <c r="D108" s="1" t="n"/>
      <c r="E108" s="1" t="n"/>
      <c r="F108" s="1" t="n"/>
      <c r="G108" s="1" t="n"/>
      <c r="H108" s="1" t="n"/>
      <c r="I108" s="1" t="n"/>
      <c r="J108" s="1" t="n"/>
      <c r="K108" s="1" t="n"/>
      <c r="L108" s="16" t="n"/>
      <c r="M108" s="16" t="n"/>
      <c r="N108" s="16" t="n"/>
      <c r="O108" s="16" t="n"/>
      <c r="P108" s="16" t="n"/>
      <c r="Q108" s="16" t="n"/>
      <c r="R108" s="16" t="n"/>
      <c r="S108" s="16" t="n"/>
      <c r="T108" s="16" t="n"/>
      <c r="U108" s="16" t="n"/>
      <c r="V108" s="16" t="n"/>
      <c r="W108" s="16" t="n"/>
      <c r="X108" s="16" t="n"/>
      <c r="Y108" s="16" t="n"/>
      <c r="Z108" s="16" t="n"/>
    </row>
    <row r="109" ht="12.75" customHeight="1" s="588">
      <c r="A109" s="1" t="n"/>
      <c r="B109" s="1" t="n"/>
      <c r="C109" s="1" t="n"/>
      <c r="D109" s="1" t="n"/>
      <c r="E109" s="1" t="n"/>
      <c r="F109" s="62" t="inlineStr">
        <is>
          <t>Análisis de la Competencia</t>
        </is>
      </c>
      <c r="G109" s="1" t="n"/>
      <c r="H109" s="1" t="n"/>
      <c r="I109" s="1" t="n"/>
      <c r="J109" s="1" t="n"/>
      <c r="K109" s="1" t="n"/>
    </row>
    <row r="110" ht="12.75" customHeight="1" s="588">
      <c r="A110" s="1" t="n"/>
      <c r="B110" s="1" t="n"/>
      <c r="C110" s="1" t="n"/>
      <c r="D110" s="1" t="n"/>
      <c r="E110" s="1" t="n"/>
      <c r="F110" s="1" t="n"/>
      <c r="G110" s="1" t="n"/>
      <c r="H110" s="1" t="n"/>
      <c r="I110" s="1" t="n"/>
      <c r="J110" s="1" t="n"/>
      <c r="K110" s="1" t="n"/>
    </row>
    <row r="111" ht="12.75" customHeight="1" s="588">
      <c r="A111" s="1" t="n"/>
      <c r="B111" s="646" t="inlineStr">
        <is>
          <t>EMPRESA</t>
        </is>
      </c>
      <c r="C111" s="647" t="n"/>
      <c r="D111" s="648" t="inlineStr">
        <is>
          <t>PRODUCTOS QUE COMERCIALIZA</t>
        </is>
      </c>
      <c r="E111" s="649" t="n"/>
      <c r="F111" s="647" t="n"/>
      <c r="G111" s="646" t="inlineStr">
        <is>
          <t>PRECIOS</t>
        </is>
      </c>
      <c r="H111" s="647" t="n"/>
      <c r="I111" s="648" t="inlineStr">
        <is>
          <t>CARACTERÍSTICAS</t>
        </is>
      </c>
      <c r="J111" s="649" t="n"/>
      <c r="K111" s="647" t="n"/>
    </row>
    <row r="112" ht="12.75" customHeight="1" s="588">
      <c r="A112" s="1" t="n"/>
      <c r="B112" s="650" t="inlineStr">
        <is>
          <t>Agencias de marketing de Ponferrada y León</t>
        </is>
      </c>
      <c r="C112" s="596" t="n"/>
      <c r="D112" s="651" t="inlineStr">
        <is>
          <t>Web, campañas, RRSS, branding, medios</t>
        </is>
      </c>
      <c r="E112" s="610" t="n"/>
      <c r="F112" s="652" t="n"/>
      <c r="G112" s="653" t="inlineStr">
        <is>
          <t>1.500-6.000 EUR proyecto; 300-800 EUR/mes</t>
        </is>
      </c>
      <c r="H112" s="652" t="n"/>
      <c r="I112" s="650" t="inlineStr">
        <is>
          <t>Servicio completo y trato presencial. Foco en captación, no en operación. Poco interes en el ticket pequeño de mantenimiento.</t>
        </is>
      </c>
      <c r="K112" s="596" t="n"/>
    </row>
    <row r="113" ht="12.75" customHeight="1" s="588">
      <c r="A113" s="1" t="n"/>
      <c r="B113" s="595" t="n"/>
      <c r="C113" s="596" t="n"/>
      <c r="D113" s="595" t="n"/>
      <c r="F113" s="596" t="n"/>
      <c r="G113" s="595" t="n"/>
      <c r="H113" s="596" t="n"/>
      <c r="I113" s="595" t="n"/>
      <c r="K113" s="596" t="n"/>
    </row>
    <row r="114" ht="12.75" customHeight="1" s="588">
      <c r="A114" s="1" t="n"/>
      <c r="B114" s="597" t="n"/>
      <c r="C114" s="599" t="n"/>
      <c r="D114" s="597" t="n"/>
      <c r="E114" s="598" t="n"/>
      <c r="F114" s="599" t="n"/>
      <c r="G114" s="597" t="n"/>
      <c r="H114" s="599" t="n"/>
      <c r="I114" s="597" t="n"/>
      <c r="J114" s="598" t="n"/>
      <c r="K114" s="599" t="n"/>
    </row>
    <row r="115" ht="12.75" customHeight="1" s="588">
      <c r="A115" s="1" t="n"/>
      <c r="B115" s="642" t="inlineStr">
        <is>
          <t>Freelance local / diseñador por cuenta propia</t>
        </is>
      </c>
      <c r="C115" s="594" t="n"/>
      <c r="D115" s="654" t="inlineStr">
        <is>
          <t>Web WordPress, logotipos, piezas gráficas</t>
        </is>
      </c>
      <c r="E115" s="593" t="n"/>
      <c r="F115" s="594" t="n"/>
      <c r="G115" s="642" t="inlineStr">
        <is>
          <t>400-1.200 EUR proyecto</t>
        </is>
      </c>
      <c r="H115" s="594" t="n"/>
      <c r="I115" s="642" t="inlineStr">
        <is>
          <t>Competidor directo en precio. Sin estructura, sin garantía de continuidad ni soporte. Es de donde llegan los sitios abandonados que hoy son la oportunidad.</t>
        </is>
      </c>
      <c r="J115" s="593" t="n"/>
      <c r="K115" s="594" t="n"/>
    </row>
    <row r="116" ht="12.75" customHeight="1" s="588">
      <c r="A116" s="1" t="n"/>
      <c r="B116" s="595" t="n"/>
      <c r="C116" s="596" t="n"/>
      <c r="D116" s="595" t="n"/>
      <c r="F116" s="596" t="n"/>
      <c r="G116" s="595" t="n"/>
      <c r="H116" s="596" t="n"/>
      <c r="I116" s="595" t="n"/>
      <c r="K116" s="596" t="n"/>
    </row>
    <row r="117" ht="12.75" customHeight="1" s="588">
      <c r="A117" s="1" t="n"/>
      <c r="B117" s="597" t="n"/>
      <c r="C117" s="599" t="n"/>
      <c r="D117" s="597" t="n"/>
      <c r="E117" s="598" t="n"/>
      <c r="F117" s="599" t="n"/>
      <c r="G117" s="597" t="n"/>
      <c r="H117" s="599" t="n"/>
      <c r="I117" s="597" t="n"/>
      <c r="J117" s="598" t="n"/>
      <c r="K117" s="599" t="n"/>
    </row>
    <row r="118" ht="12.75" customHeight="1" s="588">
      <c r="A118" s="1" t="n"/>
      <c r="B118" s="642" t="inlineStr">
        <is>
          <t>Proveedores nacionales de presencia digital (BeeDigital y similares)</t>
        </is>
      </c>
      <c r="C118" s="594" t="n"/>
      <c r="D118" s="654" t="inlineStr">
        <is>
          <t>Web + ficha en directorios + SEO básico, por cuota</t>
        </is>
      </c>
      <c r="E118" s="593" t="n"/>
      <c r="F118" s="594" t="n"/>
      <c r="G118" s="642" t="inlineStr">
        <is>
          <t>50-150 EUR/mes con permanencia</t>
        </is>
      </c>
      <c r="H118" s="594" t="n"/>
      <c r="I118" s="642" t="inlineStr">
        <is>
          <t>Escala y precio bajo. Servicio estandarizado, sin interlocutor fijo ni conocimiento del cliente. Alta rotación por insatisfacción: fuente natural de clientes.</t>
        </is>
      </c>
      <c r="J118" s="593" t="n"/>
      <c r="K118" s="594" t="n"/>
    </row>
    <row r="119" ht="12.75" customHeight="1" s="588">
      <c r="A119" s="1" t="n"/>
      <c r="B119" s="595" t="n"/>
      <c r="C119" s="596" t="n"/>
      <c r="D119" s="595" t="n"/>
      <c r="F119" s="596" t="n"/>
      <c r="G119" s="595" t="n"/>
      <c r="H119" s="596" t="n"/>
      <c r="I119" s="595" t="n"/>
      <c r="K119" s="596" t="n"/>
    </row>
    <row r="120" ht="12.75" customHeight="1" s="588">
      <c r="A120" s="1" t="n"/>
      <c r="B120" s="597" t="n"/>
      <c r="C120" s="599" t="n"/>
      <c r="D120" s="597" t="n"/>
      <c r="E120" s="598" t="n"/>
      <c r="F120" s="599" t="n"/>
      <c r="G120" s="597" t="n"/>
      <c r="H120" s="599" t="n"/>
      <c r="I120" s="597" t="n"/>
      <c r="J120" s="598" t="n"/>
      <c r="K120" s="599" t="n"/>
    </row>
    <row r="121" ht="12.75" customHeight="1" s="588">
      <c r="A121" s="1" t="n"/>
      <c r="B121" s="650" t="inlineStr">
        <is>
          <t>Plataformas SaaS de autoservicio (Wix, Squarespace, Shopify)</t>
        </is>
      </c>
      <c r="C121" s="596" t="n"/>
      <c r="D121" s="654" t="inlineStr">
        <is>
          <t>Constructor web, hosting y plantillas</t>
        </is>
      </c>
      <c r="E121" s="593" t="n"/>
      <c r="F121" s="594" t="n"/>
      <c r="G121" s="642" t="inlineStr">
        <is>
          <t>15-60 EUR/mes</t>
        </is>
      </c>
      <c r="H121" s="594" t="n"/>
      <c r="I121" s="642" t="inlineStr">
        <is>
          <t>Amenaza estructural en la gama baja. Traslada todo el trabajo y el riesgo al cliente. No hay diagnóstico ni responsabilidad sobre el resultado.</t>
        </is>
      </c>
      <c r="J121" s="593" t="n"/>
      <c r="K121" s="594" t="n"/>
    </row>
    <row r="122" ht="12.75" customHeight="1" s="588">
      <c r="A122" s="1" t="n"/>
      <c r="B122" s="595" t="n"/>
      <c r="C122" s="596" t="n"/>
      <c r="D122" s="595" t="n"/>
      <c r="F122" s="596" t="n"/>
      <c r="G122" s="595" t="n"/>
      <c r="H122" s="596" t="n"/>
      <c r="I122" s="595" t="n"/>
      <c r="K122" s="596" t="n"/>
    </row>
    <row r="123" ht="12.75" customHeight="1" s="588">
      <c r="A123" s="1" t="n"/>
      <c r="B123" s="597" t="n"/>
      <c r="C123" s="599" t="n"/>
      <c r="D123" s="597" t="n"/>
      <c r="E123" s="598" t="n"/>
      <c r="F123" s="599" t="n"/>
      <c r="G123" s="597" t="n"/>
      <c r="H123" s="599" t="n"/>
      <c r="I123" s="597" t="n"/>
      <c r="J123" s="598" t="n"/>
      <c r="K123" s="599" t="n"/>
    </row>
    <row r="124" ht="12.75" customHeight="1" s="588">
      <c r="A124" s="1" t="n"/>
      <c r="B124" s="650" t="inlineStr">
        <is>
          <t>Constructores web con IA (Framer AI, Lovable, v0, Canva)</t>
        </is>
      </c>
      <c r="C124" s="596" t="n"/>
      <c r="D124" s="654" t="inlineStr">
        <is>
          <t>Generación de sitio completo a partir de texto</t>
        </is>
      </c>
      <c r="E124" s="593" t="n"/>
      <c r="F124" s="594" t="n"/>
      <c r="G124" s="642" t="inlineStr">
        <is>
          <t>0-30 EUR/mes</t>
        </is>
      </c>
      <c r="H124" s="594" t="n"/>
      <c r="I124" s="642" t="inlineStr">
        <is>
          <t>Hunden el precio de la maquetación pura. No resuelven SEO local, integraciones, contenido veraz del negocio ni mantenimiento. Se usan como herramienta interna, no se combaten de frente.</t>
        </is>
      </c>
      <c r="J124" s="593" t="n"/>
      <c r="K124" s="594" t="n"/>
    </row>
    <row r="125" ht="12.75" customHeight="1" s="588">
      <c r="A125" s="1" t="n"/>
      <c r="B125" s="595" t="n"/>
      <c r="C125" s="596" t="n"/>
      <c r="D125" s="595" t="n"/>
      <c r="F125" s="596" t="n"/>
      <c r="G125" s="595" t="n"/>
      <c r="H125" s="596" t="n"/>
      <c r="I125" s="595" t="n"/>
      <c r="K125" s="596" t="n"/>
    </row>
    <row r="126" ht="12.75" customHeight="1" s="588">
      <c r="A126" s="1" t="n"/>
      <c r="B126" s="597" t="n"/>
      <c r="C126" s="599" t="n"/>
      <c r="D126" s="597" t="n"/>
      <c r="E126" s="598" t="n"/>
      <c r="F126" s="599" t="n"/>
      <c r="G126" s="597" t="n"/>
      <c r="H126" s="599" t="n"/>
      <c r="I126" s="597" t="n"/>
      <c r="J126" s="598" t="n"/>
      <c r="K126" s="599" t="n"/>
    </row>
    <row r="127" ht="12.75" customHeight="1" s="588">
      <c r="A127" s="1" t="n"/>
      <c r="B127" s="650" t="inlineStr">
        <is>
          <t>Consultoras TIC y partners de Kit Digital</t>
        </is>
      </c>
      <c r="C127" s="596" t="n"/>
      <c r="D127" s="642" t="inlineStr">
        <is>
          <t>Digitalización subvencionada, ERP/CRM, web</t>
        </is>
      </c>
      <c r="E127" s="593" t="n"/>
      <c r="F127" s="594" t="n"/>
      <c r="G127" s="642" t="inlineStr">
        <is>
          <t>Según bono (2.000-29.000 EUR)</t>
        </is>
      </c>
      <c r="H127" s="594" t="n"/>
      <c r="I127" s="642" t="inlineStr">
        <is>
          <t>Muy activos hasta el cierre de solicitudes (oct-2025). Dejan cartera instalada sin servicio postventa: el mercado de sustitución.</t>
        </is>
      </c>
      <c r="J127" s="593" t="n"/>
      <c r="K127" s="594" t="n"/>
    </row>
    <row r="128" ht="12.75" customHeight="1" s="588">
      <c r="A128" s="1" t="n"/>
      <c r="B128" s="595" t="n"/>
      <c r="C128" s="596" t="n"/>
      <c r="D128" s="595" t="n"/>
      <c r="F128" s="596" t="n"/>
      <c r="G128" s="595" t="n"/>
      <c r="H128" s="596" t="n"/>
      <c r="I128" s="595" t="n"/>
      <c r="K128" s="596" t="n"/>
    </row>
    <row r="129" ht="12.75" customHeight="1" s="588">
      <c r="A129" s="1" t="n"/>
      <c r="B129" s="597" t="n"/>
      <c r="C129" s="599" t="n"/>
      <c r="D129" s="597" t="n"/>
      <c r="E129" s="598" t="n"/>
      <c r="F129" s="599" t="n"/>
      <c r="G129" s="597" t="n"/>
      <c r="H129" s="599" t="n"/>
      <c r="I129" s="597" t="n"/>
      <c r="J129" s="598" t="n"/>
      <c r="K129" s="599" t="n"/>
    </row>
    <row r="130" ht="12.75" customHeight="1" s="588">
      <c r="A130" s="1" t="n"/>
      <c r="B130" s="650" t="inlineStr">
        <is>
          <t>Imprentas y rotulación del Bierzo con servicio de diseño</t>
        </is>
      </c>
      <c r="C130" s="596" t="n"/>
      <c r="D130" s="642" t="inlineStr">
        <is>
          <t>Diseño gráfico, papelería, cartelería</t>
        </is>
      </c>
      <c r="E130" s="593" t="n"/>
      <c r="F130" s="594" t="n"/>
      <c r="G130" s="642" t="inlineStr">
        <is>
          <t>150-800 EUR proyecto</t>
        </is>
      </c>
      <c r="H130" s="594" t="n"/>
      <c r="I130" s="642" t="inlineStr">
        <is>
          <t>Competencia solo en la línea de diseño gráfico. Posible aliado prescriptor más que rival: derivan el trabajo web que no saben hacer.</t>
        </is>
      </c>
      <c r="J130" s="593" t="n"/>
      <c r="K130" s="594" t="n"/>
    </row>
    <row r="131" ht="12.75" customHeight="1" s="588">
      <c r="A131" s="1" t="n"/>
      <c r="B131" s="595" t="n"/>
      <c r="C131" s="596" t="n"/>
      <c r="D131" s="595" t="n"/>
      <c r="F131" s="596" t="n"/>
      <c r="G131" s="595" t="n"/>
      <c r="H131" s="596" t="n"/>
      <c r="I131" s="595" t="n"/>
      <c r="K131" s="596" t="n"/>
    </row>
    <row r="132" ht="12.75" customHeight="1" s="588">
      <c r="A132" s="1" t="n"/>
      <c r="B132" s="597" t="n"/>
      <c r="C132" s="599" t="n"/>
      <c r="D132" s="597" t="n"/>
      <c r="E132" s="598" t="n"/>
      <c r="F132" s="599" t="n"/>
      <c r="G132" s="597" t="n"/>
      <c r="H132" s="599" t="n"/>
      <c r="I132" s="597" t="n"/>
      <c r="J132" s="598" t="n"/>
      <c r="K132" s="599" t="n"/>
    </row>
    <row r="133" ht="12.75" customHeight="1" s="588">
      <c r="A133" s="1" t="n"/>
      <c r="B133" s="650" t="n"/>
      <c r="C133" s="596" t="n"/>
      <c r="D133" s="642" t="n"/>
      <c r="E133" s="593" t="n"/>
      <c r="F133" s="594" t="n"/>
      <c r="G133" s="642" t="n"/>
      <c r="H133" s="594" t="n"/>
      <c r="I133" s="642" t="n"/>
      <c r="J133" s="593" t="n"/>
      <c r="K133" s="594" t="n"/>
    </row>
    <row r="134" ht="12.75" customHeight="1" s="588">
      <c r="A134" s="1" t="n"/>
      <c r="B134" s="595" t="n"/>
      <c r="C134" s="596" t="n"/>
      <c r="D134" s="595" t="n"/>
      <c r="F134" s="596" t="n"/>
      <c r="G134" s="595" t="n"/>
      <c r="H134" s="596" t="n"/>
      <c r="I134" s="595" t="n"/>
      <c r="K134" s="596" t="n"/>
    </row>
    <row r="135" ht="12.75" customHeight="1" s="588">
      <c r="A135" s="1" t="n"/>
      <c r="B135" s="597" t="n"/>
      <c r="C135" s="599" t="n"/>
      <c r="D135" s="597" t="n"/>
      <c r="E135" s="598" t="n"/>
      <c r="F135" s="599" t="n"/>
      <c r="G135" s="597" t="n"/>
      <c r="H135" s="599" t="n"/>
      <c r="I135" s="597" t="n"/>
      <c r="J135" s="598" t="n"/>
      <c r="K135" s="599" t="n"/>
    </row>
    <row r="136" ht="12.75" customHeight="1" s="588">
      <c r="A136" s="1" t="n"/>
      <c r="B136" s="1" t="n"/>
      <c r="C136" s="1" t="n"/>
      <c r="D136" s="1" t="n"/>
      <c r="E136" s="1" t="n"/>
      <c r="F136" s="1" t="n"/>
      <c r="G136" s="1" t="n"/>
      <c r="H136" s="1" t="n"/>
      <c r="I136" s="1" t="n"/>
      <c r="J136" s="1" t="n"/>
      <c r="K136" s="1" t="n"/>
    </row>
    <row r="137" ht="12.75" customHeight="1" s="588">
      <c r="A137" s="1" t="n"/>
      <c r="B137" s="1" t="n"/>
      <c r="C137" s="1" t="n"/>
      <c r="D137" s="1" t="n"/>
      <c r="E137" s="1" t="n"/>
      <c r="F137" s="1" t="n"/>
      <c r="G137" s="1" t="n"/>
      <c r="H137" s="1" t="n"/>
      <c r="I137" s="1" t="n"/>
      <c r="J137" s="1" t="n"/>
      <c r="K137" s="1" t="n"/>
    </row>
    <row r="138" ht="12.75" customHeight="1" s="588">
      <c r="A138" s="1" t="n"/>
      <c r="B138" s="1" t="n"/>
      <c r="C138" s="1" t="n"/>
      <c r="D138" s="1" t="n"/>
      <c r="E138" s="1" t="n"/>
      <c r="F138" s="1" t="n"/>
      <c r="G138" s="1" t="n"/>
      <c r="H138" s="1" t="n"/>
      <c r="I138" s="1" t="n"/>
      <c r="J138" s="1" t="n"/>
      <c r="K138" s="1" t="n"/>
    </row>
    <row r="139" ht="12.75" customHeight="1" s="588">
      <c r="A139" s="1" t="n"/>
      <c r="B139" s="1" t="n"/>
      <c r="C139" s="1" t="n"/>
      <c r="D139" s="1" t="n"/>
      <c r="E139" s="1" t="n"/>
      <c r="F139" s="1" t="n"/>
      <c r="G139" s="1" t="n"/>
      <c r="H139" s="1" t="n"/>
      <c r="I139" s="1" t="n"/>
      <c r="J139" s="1" t="n"/>
      <c r="K139" s="1" t="n"/>
    </row>
    <row r="140" ht="12.75" customHeight="1" s="588">
      <c r="A140" s="1" t="n"/>
      <c r="B140" s="1" t="n"/>
      <c r="C140" s="1" t="n"/>
      <c r="D140" s="1" t="n"/>
      <c r="E140" s="1" t="n"/>
      <c r="F140" s="1" t="n"/>
      <c r="G140" s="1" t="n"/>
      <c r="H140" s="1" t="n"/>
      <c r="I140" s="1" t="n"/>
      <c r="J140" s="1" t="n"/>
      <c r="K140" s="1" t="n"/>
    </row>
    <row r="141" ht="12.75" customHeight="1" s="588">
      <c r="A141" s="8" t="inlineStr">
        <is>
          <t>¿POR QUÉ?</t>
        </is>
      </c>
      <c r="B141" s="1" t="n"/>
      <c r="C141" s="1" t="n"/>
      <c r="D141" s="1" t="n"/>
      <c r="E141" s="1" t="n"/>
      <c r="F141" s="1" t="n"/>
      <c r="G141" s="1" t="n"/>
      <c r="H141" s="1" t="n"/>
      <c r="I141" s="1" t="n"/>
      <c r="J141" s="1" t="n"/>
      <c r="K141" s="1" t="n"/>
    </row>
    <row r="142" ht="12.75" customHeight="1" s="588">
      <c r="A142" s="1" t="n"/>
      <c r="B142" s="1" t="n"/>
      <c r="C142" s="1" t="n"/>
      <c r="D142" s="1" t="n"/>
      <c r="E142" s="1" t="n"/>
      <c r="F142" s="1" t="n"/>
      <c r="G142" s="1" t="n"/>
      <c r="H142" s="1" t="n"/>
      <c r="I142" s="1" t="n"/>
      <c r="J142" s="1" t="n"/>
      <c r="K142" s="1" t="n"/>
    </row>
    <row r="143" ht="12.75" customHeight="1" s="588">
      <c r="A143" s="1" t="n"/>
      <c r="B143" s="1" t="n"/>
      <c r="C143" s="1" t="n"/>
      <c r="D143" s="1" t="n"/>
      <c r="E143" s="1" t="n"/>
      <c r="F143" s="1" t="n"/>
      <c r="G143" s="1" t="n"/>
      <c r="H143" s="1" t="n"/>
      <c r="I143" s="1" t="n"/>
      <c r="J143" s="1" t="n"/>
      <c r="K143" s="1" t="n"/>
      <c r="L143" s="16" t="n"/>
      <c r="M143" s="16" t="n"/>
      <c r="N143" s="16" t="n"/>
      <c r="O143" s="16" t="n"/>
      <c r="P143" s="16" t="n"/>
      <c r="Q143" s="16" t="n"/>
      <c r="R143" s="16" t="n"/>
      <c r="S143" s="16" t="n"/>
      <c r="T143" s="16" t="n"/>
      <c r="U143" s="16" t="n"/>
      <c r="V143" s="16" t="n"/>
      <c r="W143" s="16" t="n"/>
      <c r="X143" s="16" t="n"/>
      <c r="Y143" s="16" t="n"/>
      <c r="Z143" s="16" t="n"/>
    </row>
    <row r="144" ht="12.75" customHeight="1" s="588">
      <c r="A144" s="1" t="n"/>
      <c r="B144" s="1" t="n"/>
      <c r="C144" s="1" t="n"/>
      <c r="D144" s="1" t="n"/>
      <c r="E144" s="1" t="n"/>
      <c r="F144" s="130" t="inlineStr">
        <is>
          <t>Análisis DAFO</t>
        </is>
      </c>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c r="A146" s="1" t="n"/>
      <c r="B146" s="655" t="inlineStr">
        <is>
          <t>Factores Internos (Presentes)</t>
        </is>
      </c>
      <c r="C146" s="610" t="n"/>
      <c r="D146" s="610" t="n"/>
      <c r="E146" s="611" t="n"/>
      <c r="F146" s="1" t="n"/>
      <c r="G146" s="655" t="inlineStr">
        <is>
          <t>Factores Externos (Futuros)</t>
        </is>
      </c>
      <c r="H146" s="610" t="n"/>
      <c r="I146" s="610" t="n"/>
      <c r="J146" s="611" t="n"/>
      <c r="K146" s="1" t="n"/>
    </row>
    <row r="147" ht="12.75" customHeight="1" s="588">
      <c r="A147" s="1" t="n"/>
      <c r="B147" s="612" t="n"/>
      <c r="E147" s="613" t="n"/>
      <c r="F147" s="1" t="n"/>
      <c r="G147" s="612" t="n"/>
      <c r="J147" s="613" t="n"/>
      <c r="K147" s="1" t="n"/>
    </row>
    <row r="148" ht="12.75" customHeight="1" s="588">
      <c r="A148" s="1" t="n"/>
      <c r="B148" s="160" t="inlineStr">
        <is>
          <t>DEBILIDADES</t>
        </is>
      </c>
      <c r="C148" s="161" t="n"/>
      <c r="D148" s="161" t="n"/>
      <c r="E148" s="162" t="n"/>
      <c r="F148" s="1" t="n"/>
      <c r="G148" s="160" t="inlineStr">
        <is>
          <t>AMENAZAS</t>
        </is>
      </c>
      <c r="H148" s="161" t="n"/>
      <c r="I148" s="161" t="n"/>
      <c r="J148" s="162" t="n"/>
      <c r="K148" s="1" t="n"/>
    </row>
    <row r="149" ht="12.75" customHeight="1" s="588">
      <c r="A149" s="1" t="n"/>
      <c r="B149" s="656" t="inlineStr">
        <is>
          <t>Cartera de clientes inexistente al inicio y sin marca conocida en el Bierzo.
Capacidad de producción concentrada en una sola persona: el Socio 2 vende pero no produce, así que un pico de trabajo o una baja de la Socia 1 frena la entrega.
Sin historial de proyectos propios que enseñar (portfolio de terceros).
Estructura de sociedad más cara que la de autónomo: contabilidad mercantil, cuentas anuales y dos cuotas de RETA societario.
El Año 1 se planifica en equilibrio: cubre los sueldos de los dos socios pero no genera beneficio ni colchón más allá del capital aportado.
Sin experiencia previa conjunta: los dos socios no han trabajado juntos en este negocio y el reparto de decisiones está sin rodar.</t>
        </is>
      </c>
      <c r="E149" s="596" t="n"/>
      <c r="F149" s="1" t="n"/>
      <c r="G149" s="656" t="inlineStr">
        <is>
          <t>Constructores web con IA: hunden el precio de la maquetación (amenaza principal).
Barreras de entrada prácticamente nulas: cualquiera puede competir mañana.
Baja disposición a pagar del micronegocio del Bierzo.
Fin del Kit Digital como generador de demanda subvencionada (cerrado a solicitudes desde octubre de 2025).
Mercado local pequeño: 63.444 habitantes en Ponferrada; riesgo de agotar el nicho.
Impago o retraso en el cobro del cliente micropyme.
Inflación del 3,6% en 2026 encareciendo licencias y salarios.</t>
        </is>
      </c>
      <c r="J149" s="596" t="n"/>
      <c r="K149" s="1" t="n"/>
    </row>
    <row r="150" ht="12.75" customHeight="1" s="588">
      <c r="A150" s="1" t="n"/>
      <c r="B150" s="595" t="n"/>
      <c r="E150" s="596" t="n"/>
      <c r="F150" s="1" t="n"/>
      <c r="G150" s="595" t="n"/>
      <c r="J150" s="596" t="n"/>
      <c r="K150" s="1" t="n"/>
    </row>
    <row r="151" ht="12.75" customHeight="1" s="588">
      <c r="A151" s="1" t="n"/>
      <c r="B151" s="595" t="n"/>
      <c r="E151" s="596" t="n"/>
      <c r="F151" s="1" t="n"/>
      <c r="G151" s="595" t="n"/>
      <c r="J151" s="596" t="n"/>
      <c r="K151" s="1" t="n"/>
    </row>
    <row r="152" ht="12.75" customHeight="1" s="588">
      <c r="A152" s="1" t="n"/>
      <c r="B152" s="595" t="n"/>
      <c r="E152" s="596" t="n"/>
      <c r="F152" s="1" t="n"/>
      <c r="G152" s="595" t="n"/>
      <c r="J152" s="596" t="n"/>
      <c r="K152" s="1" t="n"/>
    </row>
    <row r="153" ht="12.75" customHeight="1" s="588">
      <c r="A153" s="1" t="n"/>
      <c r="B153" s="595" t="n"/>
      <c r="E153" s="596" t="n"/>
      <c r="F153" s="1" t="n"/>
      <c r="G153" s="595" t="n"/>
      <c r="J153" s="596" t="n"/>
      <c r="K153" s="1" t="n"/>
      <c r="L153" s="16" t="n"/>
      <c r="M153" s="16" t="n"/>
      <c r="N153" s="16" t="n"/>
      <c r="O153" s="16" t="n"/>
      <c r="P153" s="16" t="n"/>
      <c r="Q153" s="16" t="n"/>
      <c r="R153" s="16" t="n"/>
      <c r="S153" s="16" t="n"/>
      <c r="T153" s="16" t="n"/>
      <c r="U153" s="16" t="n"/>
      <c r="V153" s="16" t="n"/>
      <c r="W153" s="16" t="n"/>
      <c r="X153" s="16" t="n"/>
      <c r="Y153" s="16" t="n"/>
      <c r="Z153" s="16" t="n"/>
    </row>
    <row r="154" ht="12.75" customHeight="1" s="588">
      <c r="A154" s="1" t="n"/>
      <c r="B154" s="595" t="n"/>
      <c r="E154" s="596" t="n"/>
      <c r="F154" s="1" t="n"/>
      <c r="G154" s="595" t="n"/>
      <c r="J154" s="596" t="n"/>
      <c r="K154" s="1" t="n"/>
    </row>
    <row r="155" ht="12.75" customHeight="1" s="588">
      <c r="A155" s="1" t="n"/>
      <c r="B155" s="595" t="n"/>
      <c r="E155" s="596" t="n"/>
      <c r="F155" s="1" t="n"/>
      <c r="G155" s="595" t="n"/>
      <c r="J155" s="596" t="n"/>
      <c r="K155" s="1" t="n"/>
    </row>
    <row r="156" ht="12.75" customHeight="1" s="588">
      <c r="A156" s="1" t="n"/>
      <c r="B156" s="595" t="n"/>
      <c r="E156" s="596" t="n"/>
      <c r="F156" s="1" t="n"/>
      <c r="G156" s="595" t="n"/>
      <c r="J156" s="596" t="n"/>
      <c r="K156" s="1" t="n"/>
    </row>
    <row r="157" ht="12.75" customHeight="1" s="588">
      <c r="A157" s="1" t="n"/>
      <c r="B157" s="595" t="n"/>
      <c r="E157" s="596" t="n"/>
      <c r="F157" s="1" t="n"/>
      <c r="G157" s="595" t="n"/>
      <c r="J157" s="596" t="n"/>
      <c r="K157" s="1" t="n"/>
    </row>
    <row r="158" ht="12.75" customHeight="1" s="588">
      <c r="A158" s="1" t="n"/>
      <c r="B158" s="595" t="n"/>
      <c r="E158" s="596" t="n"/>
      <c r="F158" s="1" t="n"/>
      <c r="G158" s="595" t="n"/>
      <c r="J158" s="596" t="n"/>
      <c r="K158" s="1" t="n"/>
    </row>
    <row r="159" ht="12.75" customHeight="1" s="588">
      <c r="A159" s="1" t="n"/>
      <c r="B159" s="597" t="n"/>
      <c r="C159" s="598" t="n"/>
      <c r="D159" s="598" t="n"/>
      <c r="E159" s="599" t="n"/>
      <c r="F159" s="1" t="n"/>
      <c r="G159" s="597" t="n"/>
      <c r="H159" s="598" t="n"/>
      <c r="I159" s="598" t="n"/>
      <c r="J159" s="599" t="n"/>
      <c r="K159" s="1" t="n"/>
    </row>
    <row r="160" ht="12.75" customHeight="1" s="588">
      <c r="A160" s="1" t="n"/>
      <c r="B160" s="160" t="inlineStr">
        <is>
          <t>FORTALEZAS</t>
        </is>
      </c>
      <c r="C160" s="161" t="n"/>
      <c r="D160" s="161" t="n"/>
      <c r="E160" s="162" t="n"/>
      <c r="F160" s="1" t="n"/>
      <c r="G160" s="160" t="inlineStr">
        <is>
          <t>OPORTUNIDADES</t>
        </is>
      </c>
      <c r="H160" s="161" t="n"/>
      <c r="I160" s="161" t="n"/>
      <c r="J160" s="162" t="n"/>
      <c r="K160" s="1" t="n"/>
    </row>
    <row r="161" ht="12.75" customHeight="1" s="588">
      <c r="A161" s="1" t="n"/>
      <c r="B161" s="656" t="inlineStr">
        <is>
          <t>DOS PERFILES COMPLEMENTARIOS Y NO SOLAPADOS: producción y dirección técnica (Socia 1) y dirección comercial (Socio 2). En un sector donde el freelance típico produce bien y vende mal, tener a alguien dedicado a vender desde el mes uno es la ventaja competitiva más difícil de copiar.
Conocimiento del mercado local y residencia en Ponferrada: proveedor con cara visible frente a plataformas remotas.
Experiencia real de producción web en BeeDigital: se conoce por dentro al competidor nacional de cuota y sus puntos débiles.
Dominio de las dos disciplinas (web y gráfico): permite vender identidad completa, no solo el sitio.
Uso intensivo de IA en producción: más margen por proyecto que el freelance clásico.
Responsabilidad limitada: el patrimonio personal de los socios no responde de las deudas sociales, algo relevante al manejar webs y datos de terceros.</t>
        </is>
      </c>
      <c r="E161" s="596" t="n"/>
      <c r="F161" s="1" t="n"/>
      <c r="G161" s="656" t="inlineStr">
        <is>
          <t>Parque instalado de webs de Kit Digital sin mantenimiento ni proveedor: mercado de sustitución identificado y cuantificable.
Factura electrónica B2B obligatoria (Crea y Crece / Verifactu): obliga a miles de micronegocios a revisar sus sistemas.
DO Bierzo (aprox. 70 bodegas) y enoturismo: necesidad de web en varios idiomas y venta online, con ticket superior a la media local.
Camino de Santiago: alojamientos y hostelería con demanda de reserva directa.
Subvenciones vigentes: Ayuntamiento de Ponferrada (consolidación del trabajo autónomo, convocatoria 2026) y CONSOLIDACYL de la Junta de Castilla y León.
Ponferrada gana población por tercer año consecutivo.
Nadie en la comarca ofrece aún optimización para asistentes de IA.</t>
        </is>
      </c>
      <c r="J161" s="596" t="n"/>
      <c r="K161" s="1" t="n"/>
    </row>
    <row r="162" ht="12.75" customHeight="1" s="588">
      <c r="A162" s="1" t="n"/>
      <c r="B162" s="595" t="n"/>
      <c r="E162" s="596" t="n"/>
      <c r="F162" s="1" t="n"/>
      <c r="G162" s="595" t="n"/>
      <c r="J162" s="596" t="n"/>
      <c r="K162" s="1" t="n"/>
    </row>
    <row r="163" ht="12.75" customHeight="1" s="588">
      <c r="A163" s="1" t="n"/>
      <c r="B163" s="595" t="n"/>
      <c r="E163" s="596" t="n"/>
      <c r="F163" s="1" t="n"/>
      <c r="G163" s="595" t="n"/>
      <c r="J163" s="596" t="n"/>
      <c r="K163" s="1" t="n"/>
    </row>
    <row r="164" ht="12.75" customHeight="1" s="588">
      <c r="A164" s="1" t="n"/>
      <c r="B164" s="595" t="n"/>
      <c r="E164" s="596" t="n"/>
      <c r="F164" s="1" t="n"/>
      <c r="G164" s="595" t="n"/>
      <c r="J164" s="596" t="n"/>
      <c r="K164" s="1" t="n"/>
      <c r="L164" s="16" t="n"/>
      <c r="M164" s="16" t="n"/>
      <c r="N164" s="16" t="n"/>
      <c r="O164" s="16" t="n"/>
      <c r="P164" s="16" t="n"/>
      <c r="Q164" s="16" t="n"/>
      <c r="R164" s="16" t="n"/>
      <c r="S164" s="16" t="n"/>
      <c r="T164" s="16" t="n"/>
      <c r="U164" s="16" t="n"/>
      <c r="V164" s="16" t="n"/>
      <c r="W164" s="16" t="n"/>
      <c r="X164" s="16" t="n"/>
      <c r="Y164" s="16" t="n"/>
      <c r="Z164" s="16" t="n"/>
    </row>
    <row r="165" ht="12.75" customHeight="1" s="588">
      <c r="A165" s="1" t="n"/>
      <c r="B165" s="595" t="n"/>
      <c r="E165" s="596" t="n"/>
      <c r="F165" s="1" t="n"/>
      <c r="G165" s="595" t="n"/>
      <c r="J165" s="596" t="n"/>
      <c r="K165" s="1" t="n"/>
    </row>
    <row r="166" ht="12.75" customHeight="1" s="588">
      <c r="A166" s="1" t="n"/>
      <c r="B166" s="595" t="n"/>
      <c r="E166" s="596" t="n"/>
      <c r="F166" s="1" t="n"/>
      <c r="G166" s="595" t="n"/>
      <c r="J166" s="596" t="n"/>
      <c r="K166" s="1" t="n"/>
    </row>
    <row r="167" ht="12.75" customHeight="1" s="588">
      <c r="A167" s="1" t="n"/>
      <c r="B167" s="595" t="n"/>
      <c r="E167" s="596" t="n"/>
      <c r="F167" s="1" t="n"/>
      <c r="G167" s="595" t="n"/>
      <c r="J167" s="596" t="n"/>
      <c r="K167" s="1" t="n"/>
    </row>
    <row r="168" ht="12.75" customHeight="1" s="588">
      <c r="A168" s="1" t="n"/>
      <c r="B168" s="595" t="n"/>
      <c r="E168" s="596" t="n"/>
      <c r="F168" s="1" t="n"/>
      <c r="G168" s="595" t="n"/>
      <c r="J168" s="596" t="n"/>
      <c r="K168" s="1" t="n"/>
    </row>
    <row r="169" ht="12.75" customHeight="1" s="588">
      <c r="A169" s="1" t="n"/>
      <c r="B169" s="595" t="n"/>
      <c r="E169" s="596" t="n"/>
      <c r="F169" s="1" t="n"/>
      <c r="G169" s="595" t="n"/>
      <c r="J169" s="596" t="n"/>
      <c r="K169" s="1" t="n"/>
    </row>
    <row r="170" ht="12.75" customHeight="1" s="588">
      <c r="A170" s="1" t="n"/>
      <c r="B170" s="595" t="n"/>
      <c r="E170" s="596" t="n"/>
      <c r="F170" s="1" t="n"/>
      <c r="G170" s="595" t="n"/>
      <c r="J170" s="596" t="n"/>
      <c r="K170" s="1" t="n"/>
    </row>
    <row r="171" ht="12.75" customHeight="1" s="588">
      <c r="A171" s="1" t="n"/>
      <c r="B171" s="597" t="n"/>
      <c r="C171" s="598" t="n"/>
      <c r="D171" s="598" t="n"/>
      <c r="E171" s="599" t="n"/>
      <c r="F171" s="1" t="n"/>
      <c r="G171" s="597" t="n"/>
      <c r="H171" s="598" t="n"/>
      <c r="I171" s="598" t="n"/>
      <c r="J171" s="599" t="n"/>
      <c r="K171" s="1" t="n"/>
    </row>
    <row r="172" ht="12.75" customHeight="1" s="588">
      <c r="A172" s="1" t="n"/>
      <c r="B172" s="1" t="n"/>
      <c r="C172" s="1" t="n"/>
      <c r="D172" s="1" t="n"/>
      <c r="E172" s="1" t="n"/>
      <c r="F172" s="1" t="n"/>
      <c r="G172" s="1" t="n"/>
      <c r="H172" s="1" t="n"/>
      <c r="I172" s="1" t="n"/>
      <c r="J172" s="1" t="n"/>
      <c r="K172" s="1" t="n"/>
    </row>
    <row r="173" ht="12.75" customHeight="1" s="588">
      <c r="A173" s="1" t="n"/>
      <c r="B173" s="1" t="n"/>
      <c r="C173" s="1" t="n"/>
      <c r="D173" s="1" t="n"/>
      <c r="E173" s="1" t="n"/>
      <c r="F173" s="1" t="n"/>
      <c r="G173" s="1" t="n"/>
      <c r="H173" s="1" t="n"/>
      <c r="I173" s="1" t="n"/>
      <c r="J173" s="1" t="n"/>
      <c r="K173" s="1" t="n"/>
    </row>
    <row r="174" ht="12.75" customHeight="1" s="588">
      <c r="A174" s="1" t="n"/>
      <c r="B174" s="1" t="n"/>
      <c r="C174" s="1" t="n"/>
      <c r="D174" s="1" t="n"/>
      <c r="E174" s="1" t="n"/>
      <c r="F174" s="1" t="n"/>
      <c r="G174" s="1" t="n"/>
      <c r="H174" s="1" t="n"/>
      <c r="I174" s="1" t="n"/>
      <c r="J174" s="1" t="n"/>
      <c r="K174" s="1" t="n"/>
    </row>
    <row r="175" ht="12.75" customHeight="1" s="588">
      <c r="A175" s="1" t="n"/>
      <c r="B175" s="1" t="n"/>
      <c r="C175" s="1" t="n"/>
      <c r="D175" s="1" t="n"/>
      <c r="E175" s="1" t="n"/>
      <c r="F175" s="1" t="n"/>
      <c r="G175" s="1" t="n"/>
      <c r="H175" s="1" t="n"/>
      <c r="I175" s="1" t="n"/>
      <c r="J175" s="1" t="n"/>
      <c r="K175" s="1" t="n"/>
    </row>
    <row r="176" ht="12.75" customHeight="1" s="588">
      <c r="A176" s="8" t="inlineStr">
        <is>
          <t>¿POR QUÉ?</t>
        </is>
      </c>
      <c r="B176" s="1" t="n"/>
      <c r="C176" s="1" t="n"/>
      <c r="D176" s="1" t="n"/>
      <c r="E176" s="1" t="n"/>
      <c r="F176" s="1" t="n"/>
      <c r="G176" s="1" t="n"/>
      <c r="H176" s="1" t="n"/>
      <c r="I176" s="1" t="n"/>
      <c r="J176" s="1" t="n"/>
      <c r="K176" s="1" t="n"/>
    </row>
    <row r="177" ht="12.75" customHeight="1" s="588">
      <c r="A177" s="1" t="n"/>
      <c r="B177" s="1" t="n"/>
      <c r="C177" s="1" t="n"/>
      <c r="D177" s="1" t="n"/>
      <c r="E177" s="1" t="n"/>
      <c r="F177" s="1" t="n"/>
      <c r="G177" s="1" t="n"/>
      <c r="H177" s="1" t="n"/>
      <c r="I177" s="1" t="n"/>
      <c r="J177" s="1" t="n"/>
      <c r="K177" s="1" t="n"/>
    </row>
    <row r="178" ht="12.75" customHeight="1" s="588">
      <c r="A178" s="1" t="n"/>
      <c r="B178" s="1" t="n"/>
      <c r="C178" s="1" t="n"/>
      <c r="D178" s="1" t="n"/>
      <c r="E178" s="1" t="n"/>
      <c r="F178" s="1" t="n"/>
      <c r="G178" s="1" t="n"/>
      <c r="H178" s="1" t="n"/>
      <c r="I178" s="1" t="n"/>
      <c r="J178" s="1" t="n"/>
      <c r="K178" s="1" t="n"/>
      <c r="L178" s="16" t="n"/>
      <c r="M178" s="16" t="n"/>
      <c r="N178" s="16" t="n"/>
      <c r="O178" s="16" t="n"/>
      <c r="P178" s="16" t="n"/>
      <c r="Q178" s="16" t="n"/>
      <c r="R178" s="16" t="n"/>
      <c r="S178" s="16" t="n"/>
      <c r="T178" s="16" t="n"/>
      <c r="U178" s="16" t="n"/>
      <c r="V178" s="16" t="n"/>
      <c r="W178" s="16" t="n"/>
      <c r="X178" s="16" t="n"/>
      <c r="Y178" s="16" t="n"/>
      <c r="Z178" s="16" t="n"/>
    </row>
    <row r="179" ht="12.75" customHeight="1" s="588">
      <c r="A179" s="1" t="n"/>
      <c r="B179" s="1" t="n"/>
      <c r="C179" s="1" t="n"/>
      <c r="D179" s="1" t="n"/>
      <c r="E179" s="1" t="n"/>
      <c r="F179" s="130" t="inlineStr">
        <is>
          <t>CAME: Determinación de Estrategias</t>
        </is>
      </c>
      <c r="G179" s="1" t="n"/>
      <c r="H179" s="1" t="n"/>
      <c r="I179" s="1" t="n"/>
      <c r="J179" s="1" t="n"/>
      <c r="K179" s="1" t="n"/>
    </row>
    <row r="180" ht="12.75" customHeight="1" s="588">
      <c r="A180" s="1" t="n"/>
      <c r="B180" s="1" t="n"/>
      <c r="C180" s="1" t="n"/>
      <c r="D180" s="1" t="n"/>
      <c r="E180" s="1" t="n"/>
      <c r="F180" s="1" t="n"/>
      <c r="G180" s="1" t="n"/>
      <c r="H180" s="1" t="n"/>
      <c r="I180" s="1" t="n"/>
      <c r="J180" s="1" t="n"/>
      <c r="K180" s="1" t="n"/>
    </row>
    <row r="181" ht="12.75" customHeight="1" s="588">
      <c r="A181" s="1" t="n"/>
      <c r="B181" s="655" t="inlineStr">
        <is>
          <t>Corregir Debilidades</t>
        </is>
      </c>
      <c r="C181" s="610" t="n"/>
      <c r="D181" s="610" t="n"/>
      <c r="E181" s="611" t="n"/>
      <c r="F181" s="1" t="n"/>
      <c r="G181" s="655" t="inlineStr">
        <is>
          <t>Afrontar Amenazas</t>
        </is>
      </c>
      <c r="H181" s="610" t="n"/>
      <c r="I181" s="610" t="n"/>
      <c r="J181" s="611" t="n"/>
      <c r="K181" s="1" t="n"/>
    </row>
    <row r="182" ht="12.75" customHeight="1" s="588">
      <c r="A182" s="1" t="n"/>
      <c r="B182" s="612" t="n"/>
      <c r="E182" s="613" t="n"/>
      <c r="F182" s="1" t="n"/>
      <c r="G182" s="612" t="n"/>
      <c r="J182" s="613" t="n"/>
      <c r="K182" s="1" t="n"/>
    </row>
    <row r="183" ht="12.75" customHeight="1" s="588">
      <c r="A183" s="1" t="n"/>
      <c r="B183" s="160" t="inlineStr">
        <is>
          <t>Estrategias de Reorientación</t>
        </is>
      </c>
      <c r="C183" s="161" t="n"/>
      <c r="D183" s="161" t="n"/>
      <c r="E183" s="162" t="n"/>
      <c r="F183" s="1" t="n"/>
      <c r="G183" s="160" t="inlineStr">
        <is>
          <t>Estrategias de Supervivencia</t>
        </is>
      </c>
      <c r="H183" s="161" t="n"/>
      <c r="I183" s="161" t="n"/>
      <c r="J183" s="162" t="n"/>
      <c r="K183" s="1" t="n"/>
    </row>
    <row r="184" ht="12.75" customHeight="1" s="588">
      <c r="A184" s="1" t="n"/>
      <c r="B184" s="657" t="inlineStr">
        <is>
          <t>ESTRATEGIAS DE REORIENTACIÓN (corregir debilidades)
Firmar un PACTO DE SOCIOS antes de constituir: reparto de participaciones, dedicación exigida a cada uno, régimen de decisiones, qué pasa si uno quiere salir y cómo se revisan las retribuciones. Es la causa número uno de ruptura en sociedades de dos socios y se previene por escrito, no con confianza.
Construir portfolio en los dos primeros meses con 3 proyectos a precio reducido a cambio de permiso de publicación y testimonio grabado.
Subcontratar picos de producción a freelances (coste variable, no estructura): ya está presupuestado dentro del coste de ventas y es el seguro contra el cuello de botella de tener un solo productor.
Formar al Socio 2 en el producto lo suficiente para hacer el diagnóstico digital de 15 minutos sin depender de la Socia 1.
Entrar en la Cámara de Comercio, CONFEBIERZO y el Centro de Innovación y Emprendimiento de Ponferrada para acelerar la red de contactos.
Exigir 50% de anticipo en todo proyecto y domiciliar las cuotas de mantenimiento.</t>
        </is>
      </c>
      <c r="E184" s="596" t="n"/>
      <c r="F184" s="1" t="n"/>
      <c r="G184" s="657" t="inlineStr">
        <is>
          <t>ESTRATEGIAS DE SUPERVIVENCIA (afrontar amenazas)
No competir contra la IA en maquetación: usarla como herramienta interna y vender lo que no puede dar (diagnóstico, contenido local veraz, integración y responsabilidad).
Desplazar el peso del negocio hacia lo recurrente: mantenimiento y SEO local ya son el 27,5% de la facturación del Año 1, con objetivo del 35% en el Año 3.
PREPARAR EL SALTO DE CUOTA DEL MES 13: al acabar la tarifa plana, el RETA de los dos socios pasa de 1.920 a unos 10.700 EUR anuales. Es el mayor riesgo de caja del plan y se afronta con la subida de precios del Año 2 y con la base recurrente ya instalada.
Especializarse por sector (bodegas DO Bierzo, alojamiento del Camino, servicios profesionales) para que el conocimiento del negocio sea la barrera, no el código.
Política de cobro estricta: 50% anticipo, 50% antes de publicar. Nunca entregar accesos sin cobrar.
Si un ejercicio se tuerce, la palanca de ajuste son las retribuciones de los socios (el 72% de la estructura), no el despido de nadie: es la ventaja de no haber montado plantilla fija en el Año 1.</t>
        </is>
      </c>
      <c r="J184" s="596" t="n"/>
      <c r="K184" s="1" t="n"/>
    </row>
    <row r="185" ht="12.75" customHeight="1" s="588">
      <c r="A185" s="1" t="n"/>
      <c r="B185" s="595" t="n"/>
      <c r="E185" s="596" t="n"/>
      <c r="F185" s="1" t="n"/>
      <c r="G185" s="595" t="n"/>
      <c r="J185" s="596" t="n"/>
      <c r="K185" s="1" t="n"/>
    </row>
    <row r="186" ht="12.75" customHeight="1" s="588">
      <c r="A186" s="1" t="n"/>
      <c r="B186" s="595" t="n"/>
      <c r="E186" s="596" t="n"/>
      <c r="F186" s="1" t="n"/>
      <c r="G186" s="595" t="n"/>
      <c r="J186" s="596" t="n"/>
      <c r="K186" s="1" t="n"/>
    </row>
    <row r="187" ht="12.75" customHeight="1" s="588">
      <c r="A187" s="1" t="n"/>
      <c r="B187" s="595" t="n"/>
      <c r="E187" s="596" t="n"/>
      <c r="F187" s="1" t="n"/>
      <c r="G187" s="595" t="n"/>
      <c r="J187" s="596" t="n"/>
      <c r="K187" s="1" t="n"/>
      <c r="L187" s="16" t="n"/>
      <c r="M187" s="16" t="n"/>
      <c r="N187" s="16" t="n"/>
      <c r="O187" s="16" t="n"/>
      <c r="P187" s="16" t="n"/>
      <c r="Q187" s="16" t="n"/>
      <c r="R187" s="16" t="n"/>
      <c r="S187" s="16" t="n"/>
      <c r="T187" s="16" t="n"/>
      <c r="U187" s="16" t="n"/>
      <c r="V187" s="16" t="n"/>
      <c r="W187" s="16" t="n"/>
      <c r="X187" s="16" t="n"/>
      <c r="Y187" s="16" t="n"/>
      <c r="Z187" s="16" t="n"/>
    </row>
    <row r="188" ht="12.75" customHeight="1" s="588">
      <c r="A188" s="1" t="n"/>
      <c r="B188" s="595" t="n"/>
      <c r="E188" s="596" t="n"/>
      <c r="F188" s="1" t="n"/>
      <c r="G188" s="595" t="n"/>
      <c r="J188" s="596" t="n"/>
      <c r="K188" s="1" t="n"/>
    </row>
    <row r="189" ht="12.75" customHeight="1" s="588">
      <c r="A189" s="1" t="n"/>
      <c r="B189" s="595" t="n"/>
      <c r="E189" s="596" t="n"/>
      <c r="F189" s="1" t="n"/>
      <c r="G189" s="595" t="n"/>
      <c r="J189" s="596" t="n"/>
      <c r="K189" s="1" t="n"/>
    </row>
    <row r="190" ht="12.75" customHeight="1" s="588">
      <c r="A190" s="1" t="n"/>
      <c r="B190" s="595" t="n"/>
      <c r="E190" s="596" t="n"/>
      <c r="F190" s="1" t="n"/>
      <c r="G190" s="595" t="n"/>
      <c r="J190" s="596" t="n"/>
      <c r="K190" s="1" t="n"/>
    </row>
    <row r="191" ht="12.75" customHeight="1" s="588">
      <c r="A191" s="1" t="n"/>
      <c r="B191" s="595" t="n"/>
      <c r="E191" s="596" t="n"/>
      <c r="F191" s="1" t="n"/>
      <c r="G191" s="595" t="n"/>
      <c r="J191" s="596" t="n"/>
      <c r="K191" s="1" t="n"/>
    </row>
    <row r="192" ht="12.75" customHeight="1" s="588">
      <c r="A192" s="1" t="n"/>
      <c r="B192" s="595" t="n"/>
      <c r="E192" s="596" t="n"/>
      <c r="F192" s="1" t="n"/>
      <c r="G192" s="595" t="n"/>
      <c r="J192" s="596" t="n"/>
      <c r="K192" s="1" t="n"/>
    </row>
    <row r="193" ht="12.75" customHeight="1" s="588">
      <c r="A193" s="1" t="n"/>
      <c r="B193" s="595" t="n"/>
      <c r="E193" s="596" t="n"/>
      <c r="F193" s="1" t="n"/>
      <c r="G193" s="595" t="n"/>
      <c r="J193" s="596" t="n"/>
      <c r="K193" s="1" t="n"/>
    </row>
    <row r="194" ht="12.75" customHeight="1" s="588">
      <c r="A194" s="1" t="n"/>
      <c r="B194" s="597" t="n"/>
      <c r="C194" s="598" t="n"/>
      <c r="D194" s="598" t="n"/>
      <c r="E194" s="599" t="n"/>
      <c r="F194" s="1" t="n"/>
      <c r="G194" s="597" t="n"/>
      <c r="H194" s="598" t="n"/>
      <c r="I194" s="598" t="n"/>
      <c r="J194" s="599" t="n"/>
      <c r="K194" s="1" t="n"/>
    </row>
    <row r="195" ht="12.75" customHeight="1" s="588">
      <c r="A195" s="1" t="n"/>
      <c r="B195" s="1" t="n"/>
      <c r="C195" s="1" t="n"/>
      <c r="D195" s="1" t="n"/>
      <c r="E195" s="1" t="n"/>
      <c r="F195" s="1" t="n"/>
      <c r="G195" s="1" t="n"/>
      <c r="H195" s="1" t="n"/>
      <c r="I195" s="1" t="n"/>
      <c r="J195" s="1" t="n"/>
      <c r="K195" s="1" t="n"/>
    </row>
    <row r="196" ht="12.75" customHeight="1" s="588">
      <c r="A196" s="1" t="n"/>
      <c r="B196" s="655" t="inlineStr">
        <is>
          <t>Mantener Fortalezas</t>
        </is>
      </c>
      <c r="C196" s="610" t="n"/>
      <c r="D196" s="610" t="n"/>
      <c r="E196" s="611" t="n"/>
      <c r="F196" s="1" t="n"/>
      <c r="G196" s="655" t="inlineStr">
        <is>
          <t>Explotar Oportunidades</t>
        </is>
      </c>
      <c r="H196" s="610" t="n"/>
      <c r="I196" s="610" t="n"/>
      <c r="J196" s="611" t="n"/>
      <c r="K196" s="1" t="n"/>
    </row>
    <row r="197" ht="12.75" customHeight="1" s="588">
      <c r="A197" s="1" t="n"/>
      <c r="B197" s="612" t="n"/>
      <c r="E197" s="613" t="n"/>
      <c r="F197" s="1" t="n"/>
      <c r="G197" s="612" t="n"/>
      <c r="J197" s="613" t="n"/>
      <c r="K197" s="1" t="n"/>
    </row>
    <row r="198" ht="12.75" customHeight="1" s="588">
      <c r="A198" s="1" t="n"/>
      <c r="B198" s="160" t="inlineStr">
        <is>
          <t>Estrategias Defensivas</t>
        </is>
      </c>
      <c r="C198" s="161" t="n"/>
      <c r="D198" s="161" t="n"/>
      <c r="E198" s="162" t="n"/>
      <c r="F198" s="1" t="n"/>
      <c r="G198" s="160" t="inlineStr">
        <is>
          <t>Estrategias Ofensivas</t>
        </is>
      </c>
      <c r="H198" s="161" t="n"/>
      <c r="I198" s="161" t="n"/>
      <c r="J198" s="162" t="n"/>
      <c r="K198" s="1" t="n"/>
    </row>
    <row r="199" ht="12.75" customHeight="1" s="588">
      <c r="A199" s="1" t="n"/>
      <c r="B199" s="657" t="inlineStr">
        <is>
          <t>ESTRATEGIAS DEFENSIVAS (mantener fortalezas)
Convertir la cercanía en producto: revisión presencial trimestral incluida en la cuota de mantenimiento. Es exactamente lo que ningún proveedor nacional puede dar.
Publicar cada proyecto como caso local con nombre y resultado: la prueba social en un mercado de 63.000 habitantes vale más que la publicidad.
Ofrecer identidad visual y web como paquete único, aprovechando el dominio de ambas disciplinas.
Documentar y plantillar cada entrega para que el margen no dependa de rehacer el trabajo en cada cliente.</t>
        </is>
      </c>
      <c r="E199" s="596" t="n"/>
      <c r="F199" s="1" t="n"/>
      <c r="G199" s="657" t="inlineStr">
        <is>
          <t>ESTRATEGIAS OFENSIVAS (explotar oportunidades)
Campaña dirigida a beneficiarios de Kit Digital cuyo periodo de mantenimiento ha vencido: auditoría gratuita de 15 minutos como puerta de entrada.
Vertical bodegas DO Bierzo: oferta de web multiidioma con venta online y enoturismo; ticket medio superior y efecto demostración en el sector.
Vertical alojamiento del Camino de Santiago: reserva directa para reducir comisión de portales.
Alianza con gestorías y asesorías de Ponferrada como prescriptores: son quienes están gestionando la transición a factura electrónica.
Solicitar las subvenciones de consolidación del trabajo autónomo del Ayuntamiento de Ponferrada (plazo 5/03/2026 a 3/09/2026) y CONSOLIDACYL de la Junta.
Adherirse como Agente Digitalizador para captar los bonos aún pendientes de ejecutar.</t>
        </is>
      </c>
      <c r="J199" s="596" t="n"/>
      <c r="K199" s="1" t="n"/>
    </row>
    <row r="200" ht="12.75" customHeight="1" s="588">
      <c r="A200" s="1" t="n"/>
      <c r="B200" s="595" t="n"/>
      <c r="E200" s="596" t="n"/>
      <c r="F200" s="1" t="n"/>
      <c r="G200" s="595" t="n"/>
      <c r="J200" s="596" t="n"/>
      <c r="K200" s="1" t="n"/>
    </row>
    <row r="201" ht="12.75" customHeight="1" s="588">
      <c r="A201" s="1" t="n"/>
      <c r="B201" s="595" t="n"/>
      <c r="E201" s="596" t="n"/>
      <c r="F201" s="1" t="n"/>
      <c r="G201" s="595" t="n"/>
      <c r="J201" s="596" t="n"/>
      <c r="K201" s="1" t="n"/>
    </row>
    <row r="202" ht="12.75" customHeight="1" s="588">
      <c r="A202" s="1" t="n"/>
      <c r="B202" s="595" t="n"/>
      <c r="E202" s="596" t="n"/>
      <c r="F202" s="1" t="n"/>
      <c r="G202" s="595" t="n"/>
      <c r="J202" s="596" t="n"/>
      <c r="K202" s="1" t="n"/>
    </row>
    <row r="203" ht="12.75" customHeight="1" s="588">
      <c r="A203" s="1" t="n"/>
      <c r="B203" s="595" t="n"/>
      <c r="E203" s="596" t="n"/>
      <c r="F203" s="1" t="n"/>
      <c r="G203" s="595" t="n"/>
      <c r="J203" s="596" t="n"/>
      <c r="K203" s="1" t="n"/>
      <c r="L203" s="16" t="n"/>
      <c r="M203" s="16" t="n"/>
      <c r="N203" s="16" t="n"/>
      <c r="O203" s="16" t="n"/>
      <c r="P203" s="16" t="n"/>
      <c r="Q203" s="16" t="n"/>
      <c r="R203" s="16" t="n"/>
      <c r="S203" s="16" t="n"/>
      <c r="T203" s="16" t="n"/>
      <c r="U203" s="16" t="n"/>
      <c r="V203" s="16" t="n"/>
      <c r="W203" s="16" t="n"/>
      <c r="X203" s="16" t="n"/>
      <c r="Y203" s="16" t="n"/>
      <c r="Z203" s="16" t="n"/>
    </row>
    <row r="204" ht="12.75" customHeight="1" s="588">
      <c r="A204" s="1" t="n"/>
      <c r="B204" s="595" t="n"/>
      <c r="E204" s="596" t="n"/>
      <c r="F204" s="1" t="n"/>
      <c r="G204" s="595" t="n"/>
      <c r="J204" s="596" t="n"/>
      <c r="K204" s="1" t="n"/>
    </row>
    <row r="205" ht="12.75" customHeight="1" s="588">
      <c r="A205" s="1" t="n"/>
      <c r="B205" s="595" t="n"/>
      <c r="E205" s="596" t="n"/>
      <c r="F205" s="1" t="n"/>
      <c r="G205" s="595" t="n"/>
      <c r="J205" s="596" t="n"/>
      <c r="K205" s="1" t="n"/>
    </row>
    <row r="206" ht="12.75" customHeight="1" s="588">
      <c r="A206" s="1" t="n"/>
      <c r="B206" s="595" t="n"/>
      <c r="E206" s="596" t="n"/>
      <c r="F206" s="1" t="n"/>
      <c r="G206" s="595" t="n"/>
      <c r="J206" s="596" t="n"/>
      <c r="K206" s="1" t="n"/>
    </row>
    <row r="207" ht="12.75" customHeight="1" s="588">
      <c r="A207" s="1" t="n"/>
      <c r="B207" s="595" t="n"/>
      <c r="E207" s="596" t="n"/>
      <c r="F207" s="1" t="n"/>
      <c r="G207" s="595" t="n"/>
      <c r="J207" s="596" t="n"/>
      <c r="K207" s="1" t="n"/>
    </row>
    <row r="208" ht="12.75" customHeight="1" s="588">
      <c r="A208" s="1" t="n"/>
      <c r="B208" s="595" t="n"/>
      <c r="E208" s="596" t="n"/>
      <c r="F208" s="1" t="n"/>
      <c r="G208" s="595" t="n"/>
      <c r="J208" s="596" t="n"/>
      <c r="K208" s="1" t="n"/>
    </row>
    <row r="209" ht="12.75" customHeight="1" s="588">
      <c r="A209" s="1" t="n"/>
      <c r="B209" s="597" t="n"/>
      <c r="C209" s="598" t="n"/>
      <c r="D209" s="598" t="n"/>
      <c r="E209" s="599" t="n"/>
      <c r="F209" s="1" t="n"/>
      <c r="G209" s="597" t="n"/>
      <c r="H209" s="598" t="n"/>
      <c r="I209" s="598" t="n"/>
      <c r="J209" s="599" t="n"/>
      <c r="K209" s="1" t="n"/>
    </row>
    <row r="210" ht="12.75" customHeight="1" s="588">
      <c r="A210" s="1" t="n"/>
      <c r="B210" s="1" t="n"/>
      <c r="C210" s="1" t="n"/>
      <c r="D210" s="1" t="n"/>
      <c r="E210" s="1" t="n"/>
      <c r="F210" s="1" t="n"/>
      <c r="G210" s="1" t="n"/>
      <c r="H210" s="1" t="n"/>
      <c r="I210" s="1" t="n"/>
      <c r="J210" s="1" t="n"/>
      <c r="K210" s="1" t="n"/>
    </row>
    <row r="211" ht="12.75" customHeight="1" s="588">
      <c r="A211" s="8" t="inlineStr">
        <is>
          <t>¿POR QUÉ?</t>
        </is>
      </c>
      <c r="B211" s="1" t="n"/>
      <c r="C211" s="1" t="n"/>
      <c r="D211" s="1" t="n"/>
      <c r="E211" s="1" t="n"/>
      <c r="F211" s="1" t="n"/>
      <c r="G211" s="1" t="n"/>
      <c r="H211" s="1" t="n"/>
      <c r="I211" s="1" t="n"/>
      <c r="J211" s="1" t="n"/>
      <c r="K211" s="1" t="n"/>
    </row>
    <row r="212" ht="12.75" customHeight="1" s="588">
      <c r="A212" s="1" t="n"/>
      <c r="B212" s="1" t="n"/>
      <c r="C212" s="1" t="n"/>
      <c r="D212" s="1" t="n"/>
      <c r="E212" s="1" t="n"/>
      <c r="F212" s="1" t="n"/>
      <c r="G212" s="1" t="n"/>
      <c r="H212" s="1" t="n"/>
      <c r="I212" s="1" t="n"/>
      <c r="J212" s="1" t="n"/>
      <c r="K212" s="1" t="n"/>
    </row>
    <row r="213" ht="12.75" customHeight="1" s="588">
      <c r="A213" s="1" t="n"/>
      <c r="B213" s="1" t="n"/>
      <c r="C213" s="1" t="n"/>
      <c r="D213" s="1" t="n"/>
      <c r="E213" s="1" t="n"/>
      <c r="F213" s="1" t="n"/>
      <c r="G213" s="1" t="n"/>
      <c r="H213" s="1" t="n"/>
      <c r="I213" s="1" t="n"/>
      <c r="J213" s="1" t="n"/>
      <c r="K213" s="1" t="n"/>
      <c r="L213" s="16" t="n"/>
      <c r="M213" s="16" t="n"/>
      <c r="N213" s="16" t="n"/>
      <c r="O213" s="16" t="n"/>
      <c r="P213" s="16" t="n"/>
      <c r="Q213" s="16" t="n"/>
      <c r="R213" s="16" t="n"/>
      <c r="S213" s="16" t="n"/>
      <c r="T213" s="16" t="n"/>
      <c r="U213" s="16" t="n"/>
      <c r="V213" s="16" t="n"/>
      <c r="W213" s="16" t="n"/>
      <c r="X213" s="16" t="n"/>
      <c r="Y213" s="16" t="n"/>
      <c r="Z213" s="16" t="n"/>
    </row>
    <row r="214" ht="12.75" customHeight="1" s="588">
      <c r="A214" s="1" t="n"/>
      <c r="B214" s="1" t="n"/>
      <c r="C214" s="1" t="n"/>
      <c r="D214" s="1" t="n"/>
      <c r="E214" s="1" t="n"/>
      <c r="F214" s="62" t="inlineStr">
        <is>
          <t>RESUMEN</t>
        </is>
      </c>
      <c r="G214" s="1" t="n"/>
      <c r="H214" s="1" t="n"/>
      <c r="I214" s="1" t="n"/>
      <c r="J214" s="1" t="n"/>
      <c r="K214" s="1" t="n"/>
    </row>
    <row r="215" ht="12.75" customHeight="1" s="588">
      <c r="A215" s="1" t="n"/>
      <c r="B215" s="1" t="n"/>
      <c r="C215" s="1" t="n"/>
      <c r="D215" s="1" t="n"/>
      <c r="E215" s="1" t="n"/>
      <c r="F215" s="1" t="n"/>
      <c r="G215" s="1" t="n"/>
      <c r="H215" s="1" t="n"/>
      <c r="I215" s="1" t="n"/>
      <c r="J215" s="1" t="n"/>
      <c r="K215" s="1" t="n"/>
    </row>
    <row r="216" ht="12.75" customHeight="1" s="588">
      <c r="A216" s="1" t="n"/>
      <c r="B216" s="1" t="n"/>
      <c r="C216" s="1" t="n"/>
      <c r="D216" s="1" t="n"/>
      <c r="E216" s="1" t="n"/>
      <c r="F216" s="1" t="n"/>
      <c r="G216" s="1" t="n"/>
      <c r="H216" s="1" t="n"/>
      <c r="I216" s="1" t="n"/>
      <c r="J216" s="1" t="n"/>
      <c r="K216" s="1" t="n"/>
    </row>
    <row r="217" ht="12.75" customHeight="1" s="588">
      <c r="A217" s="1" t="n"/>
      <c r="B217" s="1" t="n"/>
      <c r="C217" s="1" t="n"/>
      <c r="D217" s="1" t="n"/>
      <c r="E217" s="1" t="n"/>
      <c r="F217" s="1" t="n"/>
      <c r="G217" s="1" t="n"/>
      <c r="H217" s="1" t="n"/>
      <c r="I217" s="1" t="n"/>
      <c r="J217" s="1" t="n"/>
      <c r="K217" s="1" t="n"/>
    </row>
    <row r="218" ht="12.75" customHeight="1" s="588">
      <c r="A218" s="1" t="n"/>
      <c r="B218" s="1" t="n"/>
      <c r="C218" s="1" t="n"/>
      <c r="D218" s="1" t="n"/>
      <c r="E218" s="1" t="n"/>
      <c r="F218" s="1" t="n"/>
      <c r="G218" s="1" t="n"/>
      <c r="H218" s="1" t="n"/>
      <c r="I218" s="1" t="n"/>
      <c r="J218" s="1" t="n"/>
      <c r="K218" s="1" t="n"/>
    </row>
    <row r="219" ht="12.75" customHeight="1" s="588">
      <c r="A219" s="1" t="n"/>
      <c r="B219" s="1" t="n"/>
      <c r="C219" s="1" t="n"/>
      <c r="D219" s="1" t="n"/>
      <c r="E219" s="1" t="n"/>
      <c r="F219" s="1" t="n"/>
      <c r="G219" s="1" t="n"/>
      <c r="H219" s="1" t="n"/>
      <c r="I219" s="1" t="n"/>
      <c r="J219" s="1" t="n"/>
      <c r="K219" s="1" t="n"/>
    </row>
    <row r="220" ht="12.75" customHeight="1" s="588">
      <c r="A220" s="1" t="n"/>
      <c r="B220" s="1" t="n"/>
      <c r="C220" s="1" t="n"/>
      <c r="D220" s="1" t="n"/>
      <c r="E220" s="1" t="n"/>
      <c r="F220" s="1" t="n"/>
      <c r="G220" s="1" t="n"/>
      <c r="H220" s="1" t="n"/>
      <c r="I220" s="1" t="n"/>
      <c r="J220" s="1" t="n"/>
      <c r="K220" s="1" t="n"/>
    </row>
    <row r="221" ht="12.75" customHeight="1" s="588">
      <c r="A221" s="1" t="n"/>
      <c r="B221" s="1" t="n"/>
      <c r="C221" s="1" t="n"/>
      <c r="D221" s="1" t="n"/>
      <c r="E221" s="1" t="n"/>
      <c r="F221" s="1" t="n"/>
      <c r="G221" s="1" t="n"/>
      <c r="H221" s="1" t="n"/>
      <c r="I221" s="1" t="n"/>
      <c r="J221" s="1" t="n"/>
      <c r="K221" s="1" t="n"/>
    </row>
    <row r="222" ht="12.75" customHeight="1" s="588">
      <c r="A222" s="1" t="n"/>
      <c r="B222" s="1" t="n"/>
      <c r="C222" s="658" t="inlineStr">
        <is>
          <t>Digitalización pendiente de calidad, no de existencia</t>
        </is>
      </c>
      <c r="D222" s="610" t="n"/>
      <c r="E222" s="610" t="n"/>
      <c r="F222" s="610" t="n"/>
      <c r="G222" s="610" t="n"/>
      <c r="H222" s="610" t="n"/>
      <c r="I222" s="610" t="n"/>
      <c r="J222" s="611" t="n"/>
      <c r="K222" s="1" t="n"/>
    </row>
    <row r="223" ht="12.75" customHeight="1" s="588">
      <c r="A223" s="1" t="n"/>
      <c r="B223" s="1" t="n"/>
      <c r="C223" s="612" t="n"/>
      <c r="J223" s="613" t="n"/>
      <c r="K223" s="1" t="n"/>
    </row>
    <row r="224" ht="12.75" customHeight="1" s="588">
      <c r="A224" s="1" t="n"/>
      <c r="B224" s="1" t="n"/>
      <c r="C224" s="612" t="n"/>
      <c r="J224" s="613" t="n"/>
      <c r="K224" s="1" t="n"/>
    </row>
    <row r="225" ht="12.75" customHeight="1" s="588">
      <c r="A225" s="1" t="n"/>
      <c r="B225" s="1" t="n"/>
      <c r="C225" s="612" t="n"/>
      <c r="J225" s="613" t="n"/>
      <c r="K225" s="1" t="n"/>
    </row>
    <row r="226" ht="12.75" customHeight="1" s="588">
      <c r="A226" s="1" t="n"/>
      <c r="B226" s="1" t="n"/>
      <c r="C226" s="612" t="n"/>
      <c r="J226" s="613" t="n"/>
      <c r="K226" s="1" t="n"/>
    </row>
    <row r="227" ht="13.5" customHeight="1" s="588">
      <c r="A227" s="1" t="n"/>
      <c r="B227" s="1" t="n"/>
      <c r="C227" s="614" t="n"/>
      <c r="D227" s="615" t="n"/>
      <c r="E227" s="615" t="n"/>
      <c r="F227" s="615" t="n"/>
      <c r="G227" s="615" t="n"/>
      <c r="H227" s="615" t="n"/>
      <c r="I227" s="615" t="n"/>
      <c r="J227" s="616" t="n"/>
      <c r="K227" s="1" t="n"/>
    </row>
    <row r="228" ht="12.75" customHeight="1" s="588">
      <c r="A228" s="1" t="n"/>
      <c r="B228" s="1" t="n"/>
      <c r="C228" s="1" t="n"/>
      <c r="D228" s="1" t="n"/>
      <c r="E228" s="1" t="n"/>
      <c r="F228" s="1" t="n"/>
      <c r="G228" s="1" t="n"/>
      <c r="H228" s="1" t="n"/>
      <c r="I228" s="1" t="n"/>
      <c r="J228" s="1" t="n"/>
      <c r="K228" s="1" t="n"/>
    </row>
    <row r="229" ht="12.75" customHeight="1" s="588">
      <c r="A229" s="1" t="n"/>
      <c r="B229" s="1" t="n"/>
      <c r="C229" s="1" t="n"/>
      <c r="D229" s="1" t="n"/>
      <c r="E229" s="1" t="n"/>
      <c r="F229" s="1" t="n"/>
      <c r="G229" s="1" t="n"/>
      <c r="H229" s="1" t="n"/>
      <c r="I229" s="1" t="n"/>
      <c r="J229" s="1" t="n"/>
      <c r="K229" s="1" t="n"/>
    </row>
    <row r="230" ht="12.75" customHeight="1" s="588">
      <c r="A230" s="1" t="n"/>
      <c r="B230" s="1" t="n"/>
      <c r="C230" s="1" t="n"/>
      <c r="D230" s="1" t="n"/>
      <c r="E230" s="1" t="n"/>
      <c r="F230" s="1" t="n"/>
      <c r="G230" s="1" t="n"/>
      <c r="H230" s="1" t="n"/>
      <c r="I230" s="1" t="n"/>
      <c r="J230" s="1" t="n"/>
      <c r="K230" s="1" t="n"/>
    </row>
    <row r="231" ht="12.75" customHeight="1" s="588">
      <c r="A231" s="1" t="n"/>
      <c r="B231" s="1" t="n"/>
      <c r="C231" s="1" t="n"/>
      <c r="D231" s="1" t="n"/>
      <c r="E231" s="1" t="n"/>
      <c r="F231" s="1" t="n"/>
      <c r="G231" s="1" t="n"/>
      <c r="H231" s="1" t="n"/>
      <c r="I231" s="1" t="n"/>
      <c r="J231" s="1" t="n"/>
      <c r="K231" s="1" t="n"/>
    </row>
    <row r="232" ht="12.75" customHeight="1" s="588">
      <c r="A232" s="1" t="n"/>
      <c r="B232" s="1" t="n"/>
      <c r="C232" s="1" t="n"/>
      <c r="D232" s="1" t="n"/>
      <c r="E232" s="1" t="n"/>
      <c r="F232" s="1" t="n"/>
      <c r="G232" s="1" t="n"/>
      <c r="H232" s="1" t="n"/>
      <c r="I232" s="1" t="n"/>
      <c r="J232" s="1" t="n"/>
      <c r="K232" s="1" t="n"/>
    </row>
    <row r="233" ht="12.75" customHeight="1" s="588">
      <c r="A233" s="1" t="n"/>
      <c r="B233" s="1" t="n"/>
      <c r="C233" s="1" t="n"/>
      <c r="D233" s="1" t="n"/>
      <c r="E233" s="1" t="n"/>
      <c r="F233" s="1" t="n"/>
      <c r="G233" s="1" t="n"/>
      <c r="H233" s="1" t="n"/>
      <c r="I233" s="1" t="n"/>
      <c r="J233" s="1" t="n"/>
      <c r="K233" s="1" t="n"/>
    </row>
    <row r="234" ht="12.75" customHeight="1" s="588">
      <c r="A234" s="1" t="n"/>
      <c r="B234" s="1" t="n"/>
      <c r="C234" s="1" t="n"/>
      <c r="D234" s="1" t="n"/>
      <c r="E234" s="1" t="n"/>
      <c r="F234" s="1" t="n"/>
      <c r="G234" s="1" t="n"/>
      <c r="H234" s="1" t="n"/>
      <c r="I234" s="1" t="n"/>
      <c r="J234" s="1" t="n"/>
      <c r="K234" s="1" t="n"/>
    </row>
    <row r="235" ht="12.75" customHeight="1" s="588">
      <c r="A235" s="1" t="n"/>
      <c r="B235" s="1" t="n"/>
      <c r="C235" s="1" t="n"/>
      <c r="D235" s="1" t="n"/>
      <c r="E235" s="1" t="n"/>
      <c r="F235" s="1" t="n"/>
      <c r="G235" s="1" t="n"/>
      <c r="H235" s="1" t="n"/>
      <c r="I235" s="1" t="n"/>
      <c r="J235" s="1" t="n"/>
      <c r="K235" s="1" t="n"/>
    </row>
    <row r="236" ht="12.75" customHeight="1" s="588">
      <c r="A236" s="1" t="n"/>
      <c r="B236" s="1" t="n"/>
      <c r="C236" s="1" t="n"/>
      <c r="D236" s="1" t="n"/>
      <c r="E236" s="1" t="n"/>
      <c r="F236" s="1" t="n"/>
      <c r="G236" s="1" t="n"/>
      <c r="H236" s="1" t="n"/>
      <c r="I236" s="1" t="n"/>
      <c r="J236" s="1" t="n"/>
      <c r="K236" s="1" t="n"/>
    </row>
    <row r="237" ht="12.75" customHeight="1" s="588">
      <c r="A237" s="1" t="n"/>
      <c r="B237" s="1" t="n"/>
      <c r="C237" s="1" t="n"/>
      <c r="D237" s="1" t="n"/>
      <c r="E237" s="1" t="n"/>
      <c r="F237" s="1" t="n"/>
      <c r="G237" s="1" t="n"/>
      <c r="H237" s="1" t="n"/>
      <c r="I237" s="1" t="n"/>
      <c r="J237" s="1" t="n"/>
      <c r="K237" s="1" t="n"/>
    </row>
    <row r="238" ht="12.75" customHeight="1" s="588">
      <c r="A238" s="1" t="n"/>
      <c r="B238" s="1" t="n"/>
      <c r="C238" s="1" t="n"/>
      <c r="D238" s="1" t="n"/>
      <c r="E238" s="1" t="n"/>
      <c r="F238" s="1" t="n"/>
      <c r="G238" s="1" t="n"/>
      <c r="H238" s="1" t="n"/>
      <c r="I238" s="1" t="n"/>
      <c r="J238" s="1" t="n"/>
      <c r="K238" s="1" t="n"/>
    </row>
    <row r="239" ht="12.75" customHeight="1" s="588">
      <c r="A239" s="1" t="n"/>
      <c r="B239" s="1" t="n"/>
      <c r="C239" s="1" t="n"/>
      <c r="D239" s="1" t="n"/>
      <c r="E239" s="1" t="n"/>
      <c r="F239" s="1" t="n"/>
      <c r="G239" s="1" t="n"/>
      <c r="H239" s="1" t="n"/>
      <c r="I239" s="1" t="n"/>
      <c r="J239" s="1" t="n"/>
      <c r="K239" s="1" t="n"/>
    </row>
    <row r="240" ht="12.75" customHeight="1" s="588">
      <c r="A240" s="1" t="n"/>
      <c r="B240" s="1" t="n"/>
      <c r="C240" s="1" t="n"/>
      <c r="D240" s="1" t="n"/>
      <c r="E240" s="1" t="n"/>
      <c r="F240" s="1" t="n"/>
      <c r="G240" s="1" t="n"/>
      <c r="H240" s="1" t="n"/>
      <c r="I240" s="1" t="n"/>
      <c r="J240" s="1" t="n"/>
      <c r="K240" s="1" t="n"/>
    </row>
    <row r="241" ht="12.75" customHeight="1" s="588">
      <c r="A241" s="1" t="n"/>
      <c r="B241" s="1" t="n"/>
      <c r="C241" s="1" t="n"/>
      <c r="D241" s="1" t="n"/>
      <c r="E241" s="1" t="n"/>
      <c r="F241" s="1" t="n"/>
      <c r="G241" s="1" t="n"/>
      <c r="H241" s="1" t="n"/>
      <c r="I241" s="1" t="n"/>
      <c r="J241" s="1" t="n"/>
      <c r="K241" s="1" t="n"/>
    </row>
    <row r="242" ht="12.75" customHeight="1" s="588">
      <c r="A242" s="1" t="n"/>
      <c r="B242" s="1" t="n"/>
      <c r="C242" s="1" t="n"/>
      <c r="D242" s="1" t="n"/>
      <c r="E242" s="1" t="n"/>
      <c r="F242" s="1" t="n"/>
      <c r="G242" s="1" t="n"/>
      <c r="H242" s="1" t="n"/>
      <c r="I242" s="1" t="n"/>
      <c r="J242" s="1" t="n"/>
      <c r="K242" s="1" t="n"/>
    </row>
    <row r="243" ht="12.75" customHeight="1" s="588">
      <c r="A243" s="1" t="n"/>
      <c r="B243" s="1" t="n"/>
      <c r="C243" s="1" t="n"/>
      <c r="D243" s="1" t="n"/>
      <c r="E243" s="1" t="n"/>
      <c r="F243" s="1" t="n"/>
      <c r="G243" s="1" t="n"/>
      <c r="H243" s="1" t="n"/>
      <c r="I243" s="1" t="n"/>
      <c r="J243" s="1" t="n"/>
      <c r="K243" s="1" t="n"/>
    </row>
    <row r="244" ht="12.75" customHeight="1" s="588">
      <c r="A244" s="1" t="n"/>
      <c r="B244" s="1" t="n"/>
      <c r="C244" s="1" t="n"/>
      <c r="D244" s="1" t="n"/>
      <c r="E244" s="1" t="n"/>
      <c r="F244" s="1" t="n"/>
      <c r="G244" s="1" t="n"/>
      <c r="H244" s="1" t="n"/>
      <c r="I244" s="1" t="n"/>
      <c r="J244" s="1" t="n"/>
      <c r="K244" s="1" t="n"/>
    </row>
    <row r="245" ht="12.75" customHeight="1" s="588">
      <c r="A245" s="1" t="n"/>
      <c r="B245" s="1" t="n"/>
      <c r="C245" s="1" t="n"/>
      <c r="D245" s="1" t="n"/>
      <c r="E245" s="1" t="n"/>
      <c r="F245" s="1" t="n"/>
      <c r="G245" s="1" t="n"/>
      <c r="H245" s="1" t="n"/>
      <c r="I245" s="1" t="n"/>
      <c r="J245" s="1" t="n"/>
      <c r="K245" s="1" t="n"/>
    </row>
    <row r="246" ht="12.75" customHeight="1" s="588"/>
    <row r="247" ht="12.75" customHeight="1" s="588"/>
    <row r="248" ht="12.75" customHeight="1" s="588"/>
    <row r="249" ht="12.75" customHeight="1" s="588"/>
    <row r="250" ht="12.75" customHeight="1" s="588"/>
    <row r="251" ht="12.75" customHeight="1" s="588"/>
    <row r="252" ht="12.75" customHeight="1" s="588"/>
    <row r="253" ht="12.75" customHeight="1" s="588"/>
    <row r="254" ht="12.75" customHeight="1" s="588"/>
    <row r="255" ht="12.75" customHeight="1" s="588"/>
    <row r="256" ht="12.75" customHeight="1" s="588"/>
    <row r="257" ht="12.75" customHeight="1" s="588"/>
    <row r="258" ht="12.75" customHeight="1" s="588"/>
    <row r="259" ht="12.75" customHeight="1" s="588"/>
    <row r="260" ht="12.75" customHeight="1" s="588"/>
    <row r="261" ht="12.75" customHeight="1" s="588"/>
    <row r="262" ht="12.75" customHeight="1" s="588"/>
    <row r="263" ht="12.75" customHeight="1" s="588"/>
    <row r="264" ht="12.75" customHeight="1" s="588"/>
    <row r="265" ht="12.75" customHeight="1" s="588"/>
    <row r="266" ht="12.75" customHeight="1" s="588"/>
    <row r="267" ht="12.75" customHeight="1" s="588"/>
    <row r="268" ht="12.75" customHeight="1" s="588"/>
    <row r="269" ht="12.75" customHeight="1" s="588"/>
    <row r="270" ht="12.75" customHeight="1" s="588"/>
    <row r="271" ht="12.75" customHeight="1" s="588"/>
    <row r="272" ht="12.75" customHeight="1" s="588"/>
    <row r="273" ht="12.75" customHeight="1" s="588"/>
    <row r="274" ht="12.75" customHeight="1" s="588"/>
    <row r="275" ht="12.75" customHeight="1" s="588"/>
    <row r="276" ht="12.75" customHeight="1" s="588"/>
    <row r="277" ht="12.75" customHeight="1" s="588"/>
    <row r="278" ht="12.75" customHeight="1" s="588"/>
    <row r="279" ht="12.75" customHeight="1" s="588"/>
    <row r="280" ht="12.75" customHeight="1" s="588"/>
    <row r="281" ht="12.75" customHeight="1" s="588"/>
    <row r="282" ht="12.75" customHeight="1" s="588"/>
    <row r="283" ht="12.75" customHeight="1" s="588"/>
    <row r="284" ht="12.75" customHeight="1" s="588"/>
    <row r="285" ht="12.75" customHeight="1" s="588"/>
    <row r="286" ht="12.75" customHeight="1" s="588"/>
    <row r="287" ht="12.75" customHeight="1" s="588"/>
    <row r="288" ht="12.75" customHeight="1" s="588"/>
    <row r="289" ht="12.75" customHeight="1" s="588"/>
    <row r="290" ht="12.75" customHeight="1" s="588"/>
    <row r="291" ht="12.75" customHeight="1" s="588"/>
    <row r="292" ht="12.75" customHeight="1" s="588"/>
    <row r="293" ht="12.75" customHeight="1" s="588"/>
    <row r="294" ht="12.75" customHeight="1" s="588"/>
    <row r="295" ht="12.75" customHeight="1" s="588"/>
    <row r="296" ht="12.75" customHeight="1" s="588"/>
    <row r="297" ht="12.75" customHeight="1" s="588"/>
    <row r="298" ht="12.75" customHeight="1" s="588"/>
    <row r="299" ht="12.75" customHeight="1" s="588"/>
    <row r="300" ht="12.75" customHeight="1" s="588"/>
    <row r="301" ht="12.75" customHeight="1" s="588"/>
    <row r="302" ht="12.75" customHeight="1" s="588"/>
    <row r="303" ht="12.75" customHeight="1" s="588"/>
    <row r="304" ht="12.75" customHeight="1" s="588"/>
    <row r="305" ht="12.75" customHeight="1" s="588"/>
    <row r="306" ht="12.75" customHeight="1" s="588"/>
    <row r="307" ht="12.75" customHeight="1" s="588"/>
    <row r="308" ht="12.75" customHeight="1" s="588"/>
    <row r="309" ht="12.75" customHeight="1" s="588"/>
    <row r="310" ht="12.75" customHeight="1" s="588"/>
    <row r="311" ht="12.75" customHeight="1" s="588"/>
    <row r="312" ht="12.75" customHeight="1" s="588"/>
    <row r="313" ht="12.75" customHeight="1" s="588"/>
    <row r="314" ht="12.75" customHeight="1" s="588"/>
    <row r="315" ht="12.75" customHeight="1" s="588"/>
    <row r="316" ht="12.75" customHeight="1" s="588"/>
    <row r="317" ht="12.75" customHeight="1" s="588"/>
    <row r="318" ht="12.75" customHeight="1" s="588"/>
    <row r="319" ht="12.75" customHeight="1" s="588"/>
    <row r="320" ht="12.75" customHeight="1" s="588"/>
    <row r="321" ht="12.75" customHeight="1" s="588"/>
    <row r="322" ht="12.75" customHeight="1" s="588"/>
    <row r="323" ht="12.75" customHeight="1" s="588"/>
    <row r="324" ht="12.75" customHeight="1" s="588"/>
    <row r="325" ht="12.75" customHeight="1" s="588"/>
    <row r="326" ht="12.75" customHeight="1" s="588"/>
    <row r="327" ht="12.75" customHeight="1" s="588"/>
    <row r="328" ht="12.75" customHeight="1" s="588"/>
    <row r="329" ht="12.75" customHeight="1" s="588"/>
    <row r="330" ht="12.75" customHeight="1" s="588"/>
    <row r="331" ht="12.75" customHeight="1" s="588"/>
    <row r="332" ht="12.75" customHeight="1" s="588"/>
    <row r="333" ht="12.75" customHeight="1" s="588"/>
    <row r="334" ht="12.75" customHeight="1" s="588"/>
    <row r="335" ht="12.75" customHeight="1" s="588"/>
    <row r="336" ht="12.75" customHeight="1" s="588"/>
    <row r="337" ht="12.75" customHeight="1" s="588"/>
    <row r="338" ht="12.75" customHeight="1" s="588"/>
    <row r="339" ht="12.75" customHeight="1" s="588"/>
    <row r="340" ht="12.75" customHeight="1" s="588"/>
    <row r="341" ht="12.75" customHeight="1" s="588"/>
    <row r="342" ht="12.75" customHeight="1" s="588"/>
    <row r="343" ht="12.75" customHeight="1" s="588"/>
    <row r="344" ht="12.75" customHeight="1" s="588"/>
    <row r="345" ht="12.75" customHeight="1" s="588"/>
    <row r="346" ht="12.75" customHeight="1" s="588"/>
    <row r="347" ht="12.75" customHeight="1" s="588"/>
    <row r="348" ht="12.75" customHeight="1" s="588"/>
    <row r="349" ht="12.75" customHeight="1" s="588"/>
    <row r="350" ht="12.75" customHeight="1" s="588"/>
    <row r="351" ht="12.75" customHeight="1" s="588"/>
    <row r="352" ht="12.75" customHeight="1" s="588"/>
    <row r="353" ht="12.75" customHeight="1" s="588"/>
    <row r="354" ht="12.75" customHeight="1" s="588"/>
    <row r="355" ht="12.75" customHeight="1" s="588"/>
    <row r="356" ht="12.75" customHeight="1" s="588"/>
    <row r="357" ht="12.75" customHeight="1" s="588"/>
    <row r="358" ht="12.75" customHeight="1" s="588"/>
    <row r="359" ht="12.75" customHeight="1" s="588"/>
    <row r="360" ht="12.75" customHeight="1" s="588"/>
    <row r="361" ht="12.75" customHeight="1" s="588"/>
    <row r="362" ht="12.75" customHeight="1" s="588"/>
    <row r="363" ht="12.75" customHeight="1" s="588"/>
    <row r="364" ht="12.75" customHeight="1" s="588"/>
    <row r="365" ht="12.75" customHeight="1" s="588"/>
    <row r="366" ht="12.75" customHeight="1" s="588"/>
    <row r="367" ht="12.75" customHeight="1" s="588"/>
    <row r="368" ht="12.75" customHeight="1" s="588"/>
    <row r="369" ht="12.75" customHeight="1" s="588"/>
    <row r="370" ht="12.75" customHeight="1" s="588"/>
    <row r="371" ht="12.75" customHeight="1" s="588"/>
    <row r="372" ht="12.75" customHeight="1" s="588"/>
    <row r="373" ht="12.75" customHeight="1" s="588"/>
    <row r="374" ht="12.75" customHeight="1" s="588"/>
    <row r="375" ht="12.75" customHeight="1" s="588"/>
    <row r="376" ht="12.75" customHeight="1" s="588"/>
    <row r="377" ht="12.75" customHeight="1" s="588"/>
    <row r="378" ht="12.75" customHeight="1" s="588"/>
    <row r="379" ht="12.75" customHeight="1" s="588"/>
    <row r="380" ht="12.75" customHeight="1" s="588"/>
    <row r="381" ht="12.75" customHeight="1" s="588"/>
    <row r="382" ht="12.75" customHeight="1" s="588"/>
    <row r="383" ht="12.75" customHeight="1" s="588"/>
    <row r="384" ht="12.75" customHeight="1" s="588"/>
    <row r="385" ht="12.75" customHeight="1" s="588"/>
    <row r="386" ht="12.75" customHeight="1" s="588"/>
    <row r="387" ht="12.75" customHeight="1" s="588"/>
    <row r="388" ht="12.75" customHeight="1" s="588"/>
    <row r="389" ht="12.75" customHeight="1" s="588"/>
    <row r="390" ht="12.75" customHeight="1" s="588"/>
    <row r="391" ht="12.75" customHeight="1" s="588"/>
    <row r="392" ht="12.75" customHeight="1" s="588"/>
    <row r="393" ht="12.75" customHeight="1" s="588"/>
    <row r="394" ht="12.75" customHeight="1" s="588"/>
    <row r="395" ht="12.75" customHeight="1" s="588"/>
    <row r="396" ht="12.75" customHeight="1" s="588"/>
    <row r="397" ht="12.75" customHeight="1" s="588"/>
    <row r="398" ht="12.75" customHeight="1" s="588"/>
    <row r="399" ht="12.75" customHeight="1" s="588"/>
    <row r="400" ht="12.75" customHeight="1" s="588"/>
    <row r="401" ht="12.75" customHeight="1" s="588"/>
    <row r="402" ht="12.75" customHeight="1" s="588"/>
    <row r="403" ht="12.75" customHeight="1" s="588"/>
    <row r="404" ht="12.75" customHeight="1" s="588"/>
    <row r="405" ht="12.75" customHeight="1" s="588"/>
    <row r="406" ht="12.75" customHeight="1" s="588"/>
    <row r="407" ht="12.75" customHeight="1" s="588"/>
    <row r="408" ht="12.75" customHeight="1" s="588"/>
    <row r="409" ht="12.75" customHeight="1" s="588"/>
    <row r="410" ht="12.75" customHeight="1" s="588"/>
    <row r="411" ht="12.75" customHeight="1" s="588"/>
    <row r="412" ht="12.75" customHeight="1" s="588"/>
    <row r="413" ht="12.75" customHeight="1" s="588"/>
    <row r="414" ht="12.75" customHeight="1" s="588"/>
    <row r="415" ht="12.75" customHeight="1" s="588"/>
    <row r="416" ht="12.75" customHeight="1" s="588"/>
    <row r="417" ht="12.75" customHeight="1" s="588"/>
    <row r="418" ht="12.75" customHeight="1" s="588"/>
    <row r="419" ht="12.75" customHeight="1" s="588"/>
    <row r="420" ht="12.75" customHeight="1" s="588"/>
    <row r="421" ht="12.75" customHeight="1" s="588"/>
    <row r="422" ht="12.75" customHeight="1" s="588"/>
    <row r="423" ht="12.75" customHeight="1" s="588"/>
    <row r="424" ht="12.75" customHeight="1" s="588"/>
    <row r="425" ht="12.75" customHeight="1" s="588"/>
    <row r="426" ht="12.75" customHeight="1" s="588"/>
    <row r="427" ht="12.75" customHeight="1" s="588"/>
    <row r="428" ht="12.75" customHeight="1" s="588"/>
    <row r="429" ht="12.75" customHeight="1" s="588"/>
    <row r="430" ht="12.75" customHeight="1" s="588"/>
    <row r="431" ht="12.75" customHeight="1" s="588"/>
    <row r="432" ht="12.75" customHeight="1" s="588"/>
    <row r="433" ht="12.75" customHeight="1" s="588"/>
    <row r="434" ht="12.75" customHeight="1" s="588"/>
    <row r="435" ht="12.75" customHeight="1" s="588"/>
    <row r="436" ht="12.75" customHeight="1" s="588"/>
    <row r="437" ht="12.75" customHeight="1" s="588"/>
    <row r="438" ht="12.75" customHeight="1" s="588"/>
    <row r="439" ht="12.75" customHeight="1" s="588"/>
    <row r="440" ht="12.75" customHeight="1" s="588"/>
    <row r="441" ht="12.75" customHeight="1" s="588"/>
    <row r="442" ht="12.75" customHeight="1" s="588"/>
    <row r="443" ht="12.75" customHeight="1" s="588"/>
    <row r="444" ht="12.75" customHeight="1" s="588"/>
    <row r="445" ht="12.75" customHeight="1" s="588"/>
    <row r="446" ht="12.75" customHeight="1" s="588"/>
    <row r="447" ht="12.75" customHeight="1" s="588"/>
    <row r="448" ht="12.75" customHeight="1" s="588"/>
    <row r="449" ht="12.75" customHeight="1" s="588"/>
    <row r="450" ht="12.75" customHeight="1" s="588"/>
    <row r="451" ht="12.75" customHeight="1" s="588"/>
    <row r="452" ht="12.75" customHeight="1" s="588"/>
    <row r="453" ht="12.75" customHeight="1" s="588"/>
    <row r="454" ht="12.75" customHeight="1" s="588"/>
    <row r="455" ht="12.75" customHeight="1" s="588"/>
    <row r="456" ht="12.75" customHeight="1" s="588"/>
    <row r="457" ht="12.75" customHeight="1" s="588"/>
    <row r="458" ht="12.75" customHeight="1" s="588"/>
    <row r="459" ht="12.75" customHeight="1" s="588"/>
    <row r="460" ht="12.75" customHeight="1" s="588"/>
    <row r="461" ht="12.75" customHeight="1" s="588"/>
    <row r="462" ht="12.75" customHeight="1" s="588"/>
    <row r="463" ht="12.75" customHeight="1" s="588"/>
    <row r="464" ht="12.75" customHeight="1" s="588"/>
    <row r="465" ht="12.75" customHeight="1" s="588"/>
    <row r="466" ht="12.75" customHeight="1" s="588"/>
    <row r="467" ht="12.75" customHeight="1" s="588"/>
    <row r="468" ht="12.75" customHeight="1" s="588"/>
    <row r="469" ht="12.75" customHeight="1" s="588"/>
    <row r="470" ht="12.75" customHeight="1" s="588"/>
    <row r="471" ht="12.75" customHeight="1" s="588"/>
    <row r="472" ht="12.75" customHeight="1" s="588"/>
    <row r="473" ht="12.75" customHeight="1" s="588"/>
    <row r="474" ht="12.75" customHeight="1" s="588"/>
    <row r="475" ht="12.75" customHeight="1" s="588"/>
    <row r="476" ht="12.75" customHeight="1" s="588"/>
    <row r="477" ht="12.75" customHeight="1" s="588"/>
    <row r="478" ht="12.75" customHeight="1" s="588"/>
    <row r="479" ht="12.75" customHeight="1" s="588"/>
    <row r="480" ht="12.75" customHeight="1" s="588"/>
    <row r="481" ht="12.75" customHeight="1" s="588"/>
    <row r="482" ht="12.75" customHeight="1" s="588"/>
    <row r="483" ht="12.75" customHeight="1" s="588"/>
    <row r="484" ht="12.75" customHeight="1" s="588"/>
    <row r="485" ht="12.75" customHeight="1" s="588"/>
    <row r="486" ht="12.75" customHeight="1" s="588"/>
    <row r="487" ht="12.75" customHeight="1" s="588"/>
    <row r="488" ht="12.75" customHeight="1" s="588"/>
    <row r="489" ht="12.75" customHeight="1" s="588"/>
    <row r="490" ht="12.75" customHeight="1" s="588"/>
    <row r="491" ht="12.75" customHeight="1" s="588"/>
    <row r="492" ht="12.75" customHeight="1" s="588"/>
    <row r="493" ht="12.75" customHeight="1" s="588"/>
    <row r="494" ht="12.75" customHeight="1" s="588"/>
    <row r="495" ht="12.75" customHeight="1" s="588"/>
    <row r="496" ht="12.75" customHeight="1" s="588"/>
    <row r="497" ht="12.75" customHeight="1" s="588"/>
    <row r="498" ht="12.75" customHeight="1" s="588"/>
    <row r="499" ht="12.75" customHeight="1" s="588"/>
    <row r="500" ht="12.75" customHeight="1" s="588"/>
    <row r="501" ht="12.75" customHeight="1" s="588"/>
    <row r="502" ht="12.75" customHeight="1" s="588"/>
    <row r="503" ht="12.75" customHeight="1" s="588"/>
    <row r="504" ht="12.75" customHeight="1" s="588"/>
    <row r="505" ht="12.75" customHeight="1" s="588"/>
    <row r="506" ht="12.75" customHeight="1" s="588"/>
    <row r="507" ht="12.75" customHeight="1" s="588"/>
    <row r="508" ht="12.75" customHeight="1" s="588"/>
    <row r="509" ht="12.75" customHeight="1" s="588"/>
    <row r="510" ht="12.75" customHeight="1" s="588"/>
    <row r="511" ht="12.75" customHeight="1" s="588"/>
    <row r="512" ht="12.75" customHeight="1" s="588"/>
    <row r="513" ht="12.75" customHeight="1" s="588"/>
    <row r="514" ht="12.75" customHeight="1" s="588"/>
    <row r="515" ht="12.75" customHeight="1" s="588"/>
    <row r="516" ht="12.75" customHeight="1" s="588"/>
    <row r="517" ht="12.75" customHeight="1" s="588"/>
    <row r="518" ht="12.75" customHeight="1" s="588"/>
    <row r="519" ht="12.75" customHeight="1" s="588"/>
    <row r="520" ht="12.75" customHeight="1" s="588"/>
    <row r="521" ht="12.75" customHeight="1" s="588"/>
    <row r="522" ht="12.75" customHeight="1" s="588"/>
    <row r="523" ht="12.75" customHeight="1" s="588"/>
    <row r="524" ht="12.75" customHeight="1" s="588"/>
    <row r="525" ht="12.75" customHeight="1" s="588"/>
    <row r="526" ht="12.75" customHeight="1" s="588"/>
    <row r="527" ht="12.75" customHeight="1" s="588"/>
    <row r="528" ht="12.75" customHeight="1" s="588"/>
    <row r="529" ht="12.75" customHeight="1" s="588"/>
    <row r="530" ht="12.75" customHeight="1" s="588"/>
    <row r="531" ht="12.75" customHeight="1" s="588"/>
    <row r="532" ht="12.75" customHeight="1" s="588"/>
    <row r="533" ht="12.75" customHeight="1" s="588"/>
    <row r="534" ht="12.75" customHeight="1" s="588"/>
    <row r="535" ht="12.75" customHeight="1" s="588"/>
    <row r="536" ht="12.75" customHeight="1" s="588"/>
    <row r="537" ht="12.75" customHeight="1" s="588"/>
    <row r="538" ht="12.75" customHeight="1" s="588"/>
    <row r="539" ht="12.75" customHeight="1" s="588"/>
    <row r="540" ht="12.75" customHeight="1" s="588"/>
    <row r="541" ht="12.75" customHeight="1" s="588"/>
    <row r="542" ht="12.75" customHeight="1" s="588"/>
    <row r="543" ht="12.75" customHeight="1" s="588"/>
    <row r="544" ht="12.75" customHeight="1" s="588"/>
    <row r="545" ht="12.75" customHeight="1" s="588"/>
    <row r="546" ht="12.75" customHeight="1" s="588"/>
    <row r="547" ht="12.75" customHeight="1" s="588"/>
    <row r="548" ht="12.75" customHeight="1" s="588"/>
    <row r="549" ht="12.75" customHeight="1" s="588"/>
    <row r="550" ht="12.75" customHeight="1" s="588"/>
    <row r="551" ht="12.75" customHeight="1" s="588"/>
    <row r="552" ht="12.75" customHeight="1" s="588"/>
    <row r="553" ht="12.75" customHeight="1" s="588"/>
    <row r="554" ht="12.75" customHeight="1" s="588"/>
    <row r="555" ht="12.75" customHeight="1" s="588"/>
    <row r="556" ht="12.75" customHeight="1" s="588"/>
    <row r="557" ht="12.75" customHeight="1" s="588"/>
    <row r="558" ht="12.75" customHeight="1" s="588"/>
    <row r="559" ht="12.75" customHeight="1" s="588"/>
    <row r="560" ht="12.75" customHeight="1" s="588"/>
    <row r="561" ht="12.75" customHeight="1" s="588"/>
    <row r="562" ht="12.75" customHeight="1" s="588"/>
    <row r="563" ht="12.75" customHeight="1" s="588"/>
    <row r="564" ht="12.75" customHeight="1" s="588"/>
    <row r="565" ht="12.75" customHeight="1" s="588"/>
    <row r="566" ht="12.75" customHeight="1" s="588"/>
    <row r="567" ht="12.75" customHeight="1" s="588"/>
    <row r="568" ht="12.75" customHeight="1" s="588"/>
    <row r="569" ht="12.75" customHeight="1" s="588"/>
    <row r="570" ht="12.75" customHeight="1" s="588"/>
    <row r="571" ht="12.75" customHeight="1" s="588"/>
    <row r="572" ht="12.75" customHeight="1" s="588"/>
    <row r="573" ht="12.75" customHeight="1" s="588"/>
    <row r="574" ht="12.75" customHeight="1" s="588"/>
    <row r="575" ht="12.75" customHeight="1" s="588"/>
    <row r="576" ht="12.75" customHeight="1" s="588"/>
    <row r="577" ht="12.75" customHeight="1" s="588"/>
    <row r="578" ht="12.75" customHeight="1" s="588"/>
    <row r="579" ht="12.75" customHeight="1" s="588"/>
    <row r="580" ht="12.75" customHeight="1" s="588"/>
    <row r="581" ht="12.75" customHeight="1" s="588"/>
    <row r="582" ht="12.75" customHeight="1" s="588"/>
    <row r="583" ht="12.75" customHeight="1" s="588"/>
    <row r="584" ht="12.75" customHeight="1" s="588"/>
    <row r="585" ht="12.75" customHeight="1" s="588"/>
    <row r="586" ht="12.75" customHeight="1" s="588"/>
    <row r="587" ht="12.75" customHeight="1" s="588"/>
    <row r="588" ht="12.75" customHeight="1" s="588"/>
    <row r="589" ht="12.75" customHeight="1" s="588"/>
    <row r="590" ht="12.75" customHeight="1" s="588"/>
    <row r="591" ht="12.75" customHeight="1" s="588"/>
    <row r="592" ht="12.75" customHeight="1" s="588"/>
    <row r="593" ht="12.75" customHeight="1" s="588"/>
    <row r="594" ht="12.75" customHeight="1" s="588"/>
    <row r="595" ht="12.75" customHeight="1" s="588"/>
    <row r="596" ht="12.75" customHeight="1" s="588"/>
    <row r="597" ht="12.75" customHeight="1" s="588"/>
    <row r="598" ht="12.75" customHeight="1" s="588"/>
    <row r="599" ht="12.75" customHeight="1" s="588"/>
    <row r="600" ht="12.75" customHeight="1" s="588"/>
    <row r="601" ht="12.75" customHeight="1" s="588"/>
    <row r="602" ht="12.75" customHeight="1" s="588"/>
    <row r="603" ht="12.75" customHeight="1" s="588"/>
    <row r="604" ht="12.75" customHeight="1" s="588"/>
    <row r="605" ht="12.75" customHeight="1" s="588"/>
    <row r="606" ht="12.75" customHeight="1" s="588"/>
    <row r="607" ht="12.75" customHeight="1" s="588"/>
    <row r="608" ht="12.75" customHeight="1" s="588"/>
    <row r="609" ht="12.75" customHeight="1" s="588"/>
    <row r="610" ht="12.75" customHeight="1" s="588"/>
    <row r="611" ht="12.75" customHeight="1" s="588"/>
    <row r="612" ht="12.75" customHeight="1" s="588"/>
    <row r="613" ht="12.75" customHeight="1" s="588"/>
    <row r="614" ht="12.75" customHeight="1" s="588"/>
    <row r="615" ht="12.75" customHeight="1" s="588"/>
    <row r="616" ht="12.75" customHeight="1" s="588"/>
    <row r="617" ht="12.75" customHeight="1" s="588"/>
    <row r="618" ht="12.75" customHeight="1" s="588"/>
    <row r="619" ht="12.75" customHeight="1" s="588"/>
    <row r="620" ht="12.75" customHeight="1" s="588"/>
    <row r="621" ht="12.75" customHeight="1" s="588"/>
    <row r="622" ht="12.75" customHeight="1" s="588"/>
    <row r="623" ht="12.75" customHeight="1" s="588"/>
    <row r="624" ht="12.75" customHeight="1" s="588"/>
    <row r="625" ht="12.75" customHeight="1" s="588"/>
    <row r="626" ht="12.75" customHeight="1" s="588"/>
    <row r="627" ht="12.75" customHeight="1" s="588"/>
    <row r="628" ht="12.75" customHeight="1" s="588"/>
    <row r="629" ht="12.75" customHeight="1" s="588"/>
    <row r="630" ht="12.75" customHeight="1" s="588"/>
    <row r="631" ht="12.75" customHeight="1" s="588"/>
    <row r="632" ht="12.75" customHeight="1" s="588"/>
    <row r="633" ht="12.75" customHeight="1" s="588"/>
    <row r="634" ht="12.75" customHeight="1" s="588"/>
    <row r="635" ht="12.75" customHeight="1" s="588"/>
    <row r="636" ht="12.75" customHeight="1" s="588"/>
    <row r="637" ht="12.75" customHeight="1" s="588"/>
    <row r="638" ht="12.75" customHeight="1" s="588"/>
    <row r="639" ht="12.75" customHeight="1" s="588"/>
    <row r="640" ht="12.75" customHeight="1" s="588"/>
    <row r="641" ht="12.75" customHeight="1" s="588"/>
    <row r="642" ht="12.75" customHeight="1" s="588"/>
    <row r="643" ht="12.75" customHeight="1" s="588"/>
    <row r="644" ht="12.75" customHeight="1" s="588"/>
    <row r="645" ht="12.75" customHeight="1" s="588"/>
    <row r="646" ht="12.75" customHeight="1" s="588"/>
    <row r="647" ht="12.75" customHeight="1" s="588"/>
    <row r="648" ht="12.75" customHeight="1" s="588"/>
    <row r="649" ht="12.75" customHeight="1" s="588"/>
    <row r="650" ht="12.75" customHeight="1" s="588"/>
    <row r="651" ht="12.75" customHeight="1" s="588"/>
    <row r="652" ht="12.75" customHeight="1" s="588"/>
    <row r="653" ht="12.75" customHeight="1" s="588"/>
    <row r="654" ht="12.75" customHeight="1" s="588"/>
    <row r="655" ht="12.75" customHeight="1" s="588"/>
    <row r="656" ht="12.75" customHeight="1" s="588"/>
    <row r="657" ht="12.75" customHeight="1" s="588"/>
    <row r="658" ht="12.75" customHeight="1" s="588"/>
    <row r="659" ht="12.75" customHeight="1" s="588"/>
    <row r="660" ht="12.75" customHeight="1" s="588"/>
    <row r="661" ht="12.75" customHeight="1" s="588"/>
    <row r="662" ht="12.75" customHeight="1" s="588"/>
    <row r="663" ht="12.75" customHeight="1" s="588"/>
    <row r="664" ht="12.75" customHeight="1" s="588"/>
    <row r="665" ht="12.75" customHeight="1" s="588"/>
    <row r="666" ht="12.75" customHeight="1" s="588"/>
    <row r="667" ht="12.75" customHeight="1" s="588"/>
    <row r="668" ht="12.75" customHeight="1" s="588"/>
    <row r="669" ht="12.75" customHeight="1" s="588"/>
    <row r="670" ht="12.75" customHeight="1" s="588"/>
    <row r="671" ht="12.75" customHeight="1" s="588"/>
    <row r="672" ht="12.75" customHeight="1" s="588"/>
    <row r="673" ht="12.75" customHeight="1" s="588"/>
    <row r="674" ht="12.75" customHeight="1" s="588"/>
    <row r="675" ht="12.75" customHeight="1" s="588"/>
    <row r="676" ht="12.75" customHeight="1" s="588"/>
    <row r="677" ht="12.75" customHeight="1" s="588"/>
    <row r="678" ht="12.75" customHeight="1" s="588"/>
    <row r="679" ht="12.75" customHeight="1" s="588"/>
    <row r="680" ht="12.75" customHeight="1" s="588"/>
    <row r="681" ht="12.75" customHeight="1" s="588"/>
    <row r="682" ht="12.75" customHeight="1" s="588"/>
    <row r="683" ht="12.75" customHeight="1" s="588"/>
    <row r="684" ht="12.75" customHeight="1" s="588"/>
    <row r="685" ht="12.75" customHeight="1" s="588"/>
    <row r="686" ht="12.75" customHeight="1" s="588"/>
    <row r="687" ht="12.75" customHeight="1" s="588"/>
    <row r="688" ht="12.75" customHeight="1" s="588"/>
    <row r="689" ht="12.75" customHeight="1" s="588"/>
    <row r="690" ht="12.75" customHeight="1" s="588"/>
    <row r="691" ht="12.75" customHeight="1" s="588"/>
    <row r="692" ht="12.75" customHeight="1" s="588"/>
    <row r="693" ht="12.75" customHeight="1" s="588"/>
    <row r="694" ht="12.75" customHeight="1" s="588"/>
    <row r="695" ht="12.75" customHeight="1" s="588"/>
    <row r="696" ht="12.75" customHeight="1" s="588"/>
    <row r="697" ht="12.75" customHeight="1" s="588"/>
    <row r="698" ht="12.75" customHeight="1" s="588"/>
    <row r="699" ht="12.75" customHeight="1" s="588"/>
    <row r="700" ht="12.75" customHeight="1" s="588"/>
    <row r="701" ht="12.75" customHeight="1" s="588"/>
    <row r="702" ht="12.75" customHeight="1" s="588"/>
    <row r="703" ht="12.75" customHeight="1" s="588"/>
    <row r="704" ht="12.75" customHeight="1" s="588"/>
    <row r="705" ht="12.75" customHeight="1" s="588"/>
    <row r="706" ht="12.75" customHeight="1" s="588"/>
    <row r="707" ht="12.75" customHeight="1" s="588"/>
    <row r="708" ht="12.75" customHeight="1" s="588"/>
    <row r="709" ht="12.75" customHeight="1" s="588"/>
    <row r="710" ht="12.75" customHeight="1" s="588"/>
    <row r="711" ht="12.75" customHeight="1" s="588"/>
    <row r="712" ht="12.75" customHeight="1" s="588"/>
    <row r="713" ht="12.75" customHeight="1" s="588"/>
    <row r="714" ht="12.75" customHeight="1" s="588"/>
    <row r="715" ht="12.75" customHeight="1" s="588"/>
    <row r="716" ht="12.75" customHeight="1" s="588"/>
    <row r="717" ht="12.75" customHeight="1" s="588"/>
    <row r="718" ht="12.75" customHeight="1" s="588"/>
    <row r="719" ht="12.75" customHeight="1" s="588"/>
    <row r="720" ht="12.75" customHeight="1" s="588"/>
    <row r="721" ht="12.75" customHeight="1" s="588"/>
    <row r="722" ht="12.75" customHeight="1" s="588"/>
    <row r="723" ht="12.75" customHeight="1" s="588"/>
    <row r="724" ht="12.75" customHeight="1" s="588"/>
    <row r="725" ht="12.75" customHeight="1" s="588"/>
    <row r="726" ht="12.75" customHeight="1" s="588"/>
    <row r="727" ht="12.75" customHeight="1" s="588"/>
    <row r="728" ht="12.75" customHeight="1" s="588"/>
    <row r="729" ht="12.75" customHeight="1" s="588"/>
    <row r="730" ht="12.75" customHeight="1" s="588"/>
    <row r="731" ht="12.75" customHeight="1" s="588"/>
    <row r="732" ht="12.75" customHeight="1" s="588"/>
    <row r="733" ht="12.75" customHeight="1" s="588"/>
    <row r="734" ht="12.75" customHeight="1" s="588"/>
    <row r="735" ht="12.75" customHeight="1" s="588"/>
    <row r="736" ht="12.75" customHeight="1" s="588"/>
    <row r="737" ht="12.75" customHeight="1" s="588"/>
    <row r="738" ht="12.75" customHeight="1" s="588"/>
    <row r="739" ht="12.75" customHeight="1" s="588"/>
    <row r="740" ht="12.75" customHeight="1" s="588"/>
    <row r="741" ht="12.75" customHeight="1" s="588"/>
    <row r="742" ht="12.75" customHeight="1" s="588"/>
    <row r="743" ht="12.75" customHeight="1" s="588"/>
    <row r="744" ht="12.75" customHeight="1" s="588"/>
    <row r="745" ht="12.75" customHeight="1" s="588"/>
    <row r="746" ht="12.75" customHeight="1" s="588"/>
    <row r="747" ht="12.75" customHeight="1" s="588"/>
    <row r="748" ht="12.75" customHeight="1" s="588"/>
    <row r="749" ht="12.75" customHeight="1" s="588"/>
    <row r="750" ht="12.75" customHeight="1" s="588"/>
    <row r="751" ht="12.75" customHeight="1" s="588"/>
    <row r="752" ht="12.75" customHeight="1" s="588"/>
    <row r="753" ht="12.75" customHeight="1" s="588"/>
    <row r="754" ht="12.75" customHeight="1" s="588"/>
    <row r="755" ht="12.75" customHeight="1" s="588"/>
    <row r="756" ht="12.75" customHeight="1" s="588"/>
    <row r="757" ht="12.75" customHeight="1" s="588"/>
    <row r="758" ht="12.75" customHeight="1" s="588"/>
    <row r="759" ht="12.75" customHeight="1" s="588"/>
    <row r="760" ht="12.75" customHeight="1" s="588"/>
    <row r="761" ht="12.75" customHeight="1" s="588"/>
    <row r="762" ht="12.75" customHeight="1" s="588"/>
    <row r="763" ht="12.75" customHeight="1" s="588"/>
    <row r="764" ht="12.75" customHeight="1" s="588"/>
    <row r="765" ht="12.75" customHeight="1" s="588"/>
    <row r="766" ht="12.75" customHeight="1" s="588"/>
    <row r="767" ht="12.75" customHeight="1" s="588"/>
    <row r="768" ht="12.75" customHeight="1" s="588"/>
    <row r="769" ht="12.75" customHeight="1" s="588"/>
    <row r="770" ht="12.75" customHeight="1" s="588"/>
    <row r="771" ht="12.75" customHeight="1" s="588"/>
    <row r="772" ht="12.75" customHeight="1" s="588"/>
    <row r="773" ht="12.75" customHeight="1" s="588"/>
    <row r="774" ht="12.75" customHeight="1" s="588"/>
    <row r="775" ht="12.75" customHeight="1" s="588"/>
    <row r="776" ht="12.75" customHeight="1" s="588"/>
    <row r="777" ht="12.75" customHeight="1" s="588"/>
    <row r="778" ht="12.75" customHeight="1" s="588"/>
    <row r="779" ht="12.75" customHeight="1" s="588"/>
    <row r="780" ht="12.75" customHeight="1" s="588"/>
    <row r="781" ht="12.75" customHeight="1" s="588"/>
    <row r="782" ht="12.75" customHeight="1" s="588"/>
    <row r="783" ht="12.75" customHeight="1" s="588"/>
    <row r="784" ht="12.75" customHeight="1" s="588"/>
    <row r="785" ht="12.75" customHeight="1" s="588"/>
    <row r="786" ht="12.75" customHeight="1" s="588"/>
    <row r="787" ht="12.75" customHeight="1" s="588"/>
    <row r="788" ht="12.75" customHeight="1" s="588"/>
    <row r="789" ht="12.75" customHeight="1" s="588"/>
    <row r="790" ht="12.75" customHeight="1" s="588"/>
    <row r="791" ht="12.75" customHeight="1" s="588"/>
    <row r="792" ht="12.75" customHeight="1" s="588"/>
    <row r="793" ht="12.75" customHeight="1" s="588"/>
    <row r="794" ht="12.75" customHeight="1" s="588"/>
    <row r="795" ht="12.75" customHeight="1" s="588"/>
    <row r="796" ht="12.75" customHeight="1" s="588"/>
    <row r="797" ht="12.75" customHeight="1" s="588"/>
    <row r="798" ht="12.75" customHeight="1" s="588"/>
    <row r="799" ht="12.75" customHeight="1" s="588"/>
    <row r="800" ht="12.75" customHeight="1" s="588"/>
    <row r="801" ht="12.75" customHeight="1" s="588"/>
    <row r="802" ht="12.75" customHeight="1" s="588"/>
    <row r="803" ht="12.75" customHeight="1" s="588"/>
    <row r="804" ht="12.75" customHeight="1" s="588"/>
    <row r="805" ht="12.75" customHeight="1" s="588"/>
    <row r="806" ht="12.75" customHeight="1" s="588"/>
    <row r="807" ht="12.75" customHeight="1" s="588"/>
    <row r="808" ht="12.75" customHeight="1" s="588"/>
    <row r="809" ht="12.75" customHeight="1" s="588"/>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63">
    <mergeCell ref="D79:H83"/>
    <mergeCell ref="C42:K48"/>
    <mergeCell ref="G184:J194"/>
    <mergeCell ref="C49:K55"/>
    <mergeCell ref="B161:E171"/>
    <mergeCell ref="B121:C123"/>
    <mergeCell ref="G199:J209"/>
    <mergeCell ref="C63:K69"/>
    <mergeCell ref="B115:C117"/>
    <mergeCell ref="I118:K120"/>
    <mergeCell ref="G181:J182"/>
    <mergeCell ref="I121:K123"/>
    <mergeCell ref="I115:K117"/>
    <mergeCell ref="I112:K114"/>
    <mergeCell ref="G130:H132"/>
    <mergeCell ref="I111:K111"/>
    <mergeCell ref="D121:F123"/>
    <mergeCell ref="D112:F114"/>
    <mergeCell ref="B130:C132"/>
    <mergeCell ref="B111:C111"/>
    <mergeCell ref="I127:K129"/>
    <mergeCell ref="B85:C95"/>
    <mergeCell ref="G196:J197"/>
    <mergeCell ref="E87:G93"/>
    <mergeCell ref="I130:K132"/>
    <mergeCell ref="A85:A95"/>
    <mergeCell ref="D118:F120"/>
    <mergeCell ref="D133:F135"/>
    <mergeCell ref="B181:E182"/>
    <mergeCell ref="C56:K62"/>
    <mergeCell ref="B196:E197"/>
    <mergeCell ref="G146:J147"/>
    <mergeCell ref="D130:F132"/>
    <mergeCell ref="C222:J227"/>
    <mergeCell ref="G112:H114"/>
    <mergeCell ref="D127:F129"/>
    <mergeCell ref="B112:C114"/>
    <mergeCell ref="I124:K126"/>
    <mergeCell ref="G124:H126"/>
    <mergeCell ref="I85:J95"/>
    <mergeCell ref="G118:H120"/>
    <mergeCell ref="G127:H129"/>
    <mergeCell ref="B146:E147"/>
    <mergeCell ref="D97:H101"/>
    <mergeCell ref="G121:H123"/>
    <mergeCell ref="B124:C126"/>
    <mergeCell ref="K85:K95"/>
    <mergeCell ref="G149:J159"/>
    <mergeCell ref="I133:K135"/>
    <mergeCell ref="G133:H135"/>
    <mergeCell ref="B184:E194"/>
    <mergeCell ref="B133:C135"/>
    <mergeCell ref="B149:E159"/>
    <mergeCell ref="D124:F126"/>
    <mergeCell ref="D115:F117"/>
    <mergeCell ref="B118:C120"/>
    <mergeCell ref="D111:F111"/>
    <mergeCell ref="G161:J171"/>
    <mergeCell ref="B127:C129"/>
    <mergeCell ref="G111:H111"/>
    <mergeCell ref="B199:E209"/>
    <mergeCell ref="A5:K35"/>
    <mergeCell ref="G115:H117"/>
  </mergeCells>
  <pageMargins left="0.7086614173228347" right="0.7086614173228347" top="0.9448818897637796" bottom="0.7480314960629921" header="0" footer="0"/>
  <pageSetup orientation="landscape" paperSize="9"/>
  <headerFooter>
    <oddHeader/>
    <oddFooter>&amp;L00-047&amp;F&amp;C03+079Metodología INCYNCO&amp;R00-047Por Qué &amp;P</oddFooter>
    <evenHeader/>
    <evenFooter/>
    <firstHeader/>
    <firstFooter/>
  </headerFooter>
</worksheet>
</file>

<file path=xl/worksheets/sheet3.xml><?xml version="1.0" encoding="utf-8"?>
<worksheet xmlns="http://schemas.openxmlformats.org/spreadsheetml/2006/main">
  <sheetPr>
    <tabColor rgb="FF17365D"/>
    <outlinePr summaryBelow="1" summaryRight="1"/>
    <pageSetUpPr/>
  </sheetPr>
  <dimension ref="A1:Z209"/>
  <sheetViews>
    <sheetView showGridLines="0" workbookViewId="0">
      <selection activeCell="A1" sqref="A1"/>
    </sheetView>
  </sheetViews>
  <sheetFormatPr baseColWidth="8" defaultColWidth="14.43" defaultRowHeight="15" customHeight="1"/>
  <cols>
    <col width="10.71" customWidth="1" style="588" min="1" max="26"/>
  </cols>
  <sheetData>
    <row r="1" ht="12.75" customHeight="1" s="588">
      <c r="A1" s="8" t="inlineStr">
        <is>
          <t>¿PARA QUIÉN?</t>
        </is>
      </c>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c r="L2" s="16" t="n"/>
      <c r="M2" s="16" t="n"/>
      <c r="N2" s="16" t="n"/>
      <c r="O2" s="16" t="n"/>
      <c r="P2" s="16"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row>
    <row r="4" ht="12.75" customHeight="1" s="588">
      <c r="A4" s="1" t="n"/>
      <c r="B4" s="1" t="n"/>
      <c r="C4" s="1" t="n"/>
      <c r="D4" s="1" t="n"/>
      <c r="E4" s="1" t="n"/>
      <c r="F4" s="62" t="inlineStr">
        <is>
          <t>Hábitos de consumo y posibles tendencias</t>
        </is>
      </c>
      <c r="G4" s="1" t="n"/>
      <c r="H4" s="1" t="n"/>
      <c r="I4" s="1" t="n"/>
      <c r="J4" s="1" t="n"/>
      <c r="K4" s="1" t="n"/>
    </row>
    <row r="5" ht="12.75" customHeight="1" s="588">
      <c r="A5" s="1" t="n"/>
      <c r="B5" s="1" t="n"/>
      <c r="C5" s="1" t="n"/>
      <c r="D5" s="1" t="n"/>
      <c r="E5" s="1" t="n"/>
      <c r="F5" s="1" t="n"/>
      <c r="G5" s="1" t="n"/>
      <c r="H5" s="1" t="n"/>
      <c r="I5" s="1" t="n"/>
      <c r="J5" s="1" t="n"/>
      <c r="K5" s="1" t="n"/>
    </row>
    <row r="6" ht="12.75" customHeight="1" s="588">
      <c r="A6" s="592" t="inlineStr">
        <is>
          <t>El habito de consumo ha cambiado de naturaleza. Entre 2020 y 2023 el micronegocio compraba presencia: "necesito estar en internet". En 2026 ya está, y lo que compra es rendimiento: aparecer en la busqueda local, que el formulario funcione, que la ficha de Google este viva, que se pueda reservar o pagar sin llamar. La economía digital ya supone en torno al 27% del PIB español y el 76% de las pymes tiene web: el problema dejó de ser la ausencia y pasó a ser la calidad y el abandono.
Tres tendencias marcan la decisión de compra del cliente del Bierzo en 2026:
1. Del proyecto a la suscripción. El micronegocio prefiere una cuota mensual previsible a un desembolso de 1.500 EUR. Es la forma en que ya compra el software, el móvil y la gestoría. Un plan de negocio que solo venda proyectos ignora como compra realmente su cliente.
2. Del escaparate a la conversación. La primera interacción ocurre en WhatsApp, Instagram o la ficha de Google Business, no en la home. La web se ha convertido en el lugar donde se confirma la confianza y se cierra la transacción.
3. De buscar a preguntar. Una parte creciente de las consultas se resuelve en asistentes de IA que citan fuentes. Aparecer ahí depende de datos estructurados y coherencia entre web, ficha de Google y directorios: un servicio que hoy no ofrece nadie en la comarca.
Consecuencia: el cliente ya no compara "cuanto cuesta una web" sino "quien se ocupa de que esto funcione todos los meses". Eso favorece al proveedor local con contrato de continuidad y penaliza tanto al freelance de proyecto puntual como a la plataforma remota sin interlocutor.</t>
        </is>
      </c>
      <c r="B6" s="593" t="n"/>
      <c r="C6" s="593" t="n"/>
      <c r="D6" s="593" t="n"/>
      <c r="E6" s="593" t="n"/>
      <c r="F6" s="593" t="n"/>
      <c r="G6" s="593" t="n"/>
      <c r="H6" s="593" t="n"/>
      <c r="I6" s="593" t="n"/>
      <c r="J6" s="593" t="n"/>
      <c r="K6" s="594" t="n"/>
    </row>
    <row r="7" ht="12.75" customHeight="1" s="588">
      <c r="A7" s="595" t="n"/>
      <c r="K7" s="596" t="n"/>
    </row>
    <row r="8" ht="12.75" customHeight="1" s="588">
      <c r="A8" s="595" t="n"/>
      <c r="K8" s="596" t="n"/>
    </row>
    <row r="9" ht="12.75" customHeight="1" s="588">
      <c r="A9" s="595" t="n"/>
      <c r="K9" s="596" t="n"/>
    </row>
    <row r="10" ht="12.75" customHeight="1" s="588">
      <c r="A10" s="595" t="n"/>
      <c r="K10" s="596" t="n"/>
    </row>
    <row r="11" ht="12.75" customHeight="1" s="588">
      <c r="A11" s="595" t="n"/>
      <c r="K11" s="596" t="n"/>
    </row>
    <row r="12" ht="12.75" customHeight="1" s="588">
      <c r="A12" s="595" t="n"/>
      <c r="K12" s="596" t="n"/>
    </row>
    <row r="13" ht="12.75" customHeight="1" s="588">
      <c r="A13" s="595" t="n"/>
      <c r="K13" s="596" t="n"/>
    </row>
    <row r="14" ht="12.75" customHeight="1" s="588">
      <c r="A14" s="595" t="n"/>
      <c r="K14" s="596" t="n"/>
    </row>
    <row r="15" ht="12.75" customHeight="1" s="588">
      <c r="A15" s="595" t="n"/>
      <c r="K15" s="596" t="n"/>
    </row>
    <row r="16" ht="12.75" customHeight="1" s="588">
      <c r="A16" s="595" t="n"/>
      <c r="K16" s="596" t="n"/>
    </row>
    <row r="17" ht="12.75" customHeight="1" s="588">
      <c r="A17" s="595" t="n"/>
      <c r="K17" s="596" t="n"/>
    </row>
    <row r="18" ht="12.75" customHeight="1" s="588">
      <c r="A18" s="595" t="n"/>
      <c r="K18" s="596" t="n"/>
    </row>
    <row r="19" ht="12.75" customHeight="1" s="588">
      <c r="A19" s="595" t="n"/>
      <c r="K19" s="596" t="n"/>
    </row>
    <row r="20" ht="12.75" customHeight="1" s="588">
      <c r="A20" s="595" t="n"/>
      <c r="K20" s="596" t="n"/>
    </row>
    <row r="21" ht="12.75" customHeight="1" s="588">
      <c r="A21" s="595" t="n"/>
      <c r="K21" s="596" t="n"/>
    </row>
    <row r="22" ht="12.75" customHeight="1" s="588">
      <c r="A22" s="595" t="n"/>
      <c r="K22" s="596" t="n"/>
    </row>
    <row r="23" ht="12.75" customHeight="1" s="588">
      <c r="A23" s="595" t="n"/>
      <c r="K23" s="596" t="n"/>
    </row>
    <row r="24" ht="12.75" customHeight="1" s="588">
      <c r="A24" s="595" t="n"/>
      <c r="K24" s="596" t="n"/>
    </row>
    <row r="25" ht="12.75" customHeight="1" s="588">
      <c r="A25" s="595" t="n"/>
      <c r="K25" s="596" t="n"/>
      <c r="L25" s="16" t="n"/>
      <c r="M25" s="16" t="n"/>
      <c r="N25" s="16" t="n"/>
      <c r="O25" s="16" t="n"/>
      <c r="P25" s="16" t="n"/>
      <c r="Q25" s="16" t="n"/>
      <c r="R25" s="16" t="n"/>
      <c r="S25" s="16" t="n"/>
      <c r="T25" s="16" t="n"/>
      <c r="U25" s="16" t="n"/>
      <c r="V25" s="16" t="n"/>
      <c r="W25" s="16" t="n"/>
      <c r="X25" s="16" t="n"/>
      <c r="Y25" s="16" t="n"/>
      <c r="Z25" s="16" t="n"/>
    </row>
    <row r="26" ht="12.75" customHeight="1" s="588">
      <c r="A26" s="595" t="n"/>
      <c r="K26" s="596" t="n"/>
      <c r="L26" s="16" t="n"/>
      <c r="M26" s="16" t="n"/>
      <c r="N26" s="16" t="n"/>
      <c r="O26" s="16" t="n"/>
      <c r="P26" s="16" t="n"/>
      <c r="Q26" s="16" t="n"/>
      <c r="R26" s="16" t="n"/>
      <c r="S26" s="16" t="n"/>
      <c r="T26" s="16" t="n"/>
      <c r="U26" s="16" t="n"/>
      <c r="V26" s="16" t="n"/>
      <c r="W26" s="16" t="n"/>
      <c r="X26" s="16" t="n"/>
      <c r="Y26" s="16" t="n"/>
      <c r="Z26" s="16" t="n"/>
    </row>
    <row r="27" ht="12.75" customHeight="1" s="588">
      <c r="A27" s="595" t="n"/>
      <c r="K27" s="596" t="n"/>
    </row>
    <row r="28" ht="12.75" customHeight="1" s="588">
      <c r="A28" s="595" t="n"/>
      <c r="K28" s="596" t="n"/>
    </row>
    <row r="29" ht="12.75" customHeight="1" s="588">
      <c r="A29" s="595" t="n"/>
      <c r="K29" s="596" t="n"/>
    </row>
    <row r="30" ht="12.75" customHeight="1" s="588">
      <c r="A30" s="595" t="n"/>
      <c r="K30" s="596" t="n"/>
    </row>
    <row r="31" ht="12.75" customHeight="1" s="588">
      <c r="A31" s="595" t="n"/>
      <c r="K31" s="596" t="n"/>
    </row>
    <row r="32" ht="12.75" customHeight="1" s="588">
      <c r="A32" s="595" t="n"/>
      <c r="K32" s="596" t="n"/>
    </row>
    <row r="33" ht="12.75" customHeight="1" s="588">
      <c r="A33" s="595" t="n"/>
      <c r="K33" s="596" t="n"/>
    </row>
    <row r="34" ht="12.75" customHeight="1" s="588">
      <c r="A34" s="595" t="n"/>
      <c r="K34" s="596" t="n"/>
    </row>
    <row r="35" ht="12.75" customHeight="1" s="588">
      <c r="A35" s="597" t="n"/>
      <c r="B35" s="598" t="n"/>
      <c r="C35" s="598" t="n"/>
      <c r="D35" s="598" t="n"/>
      <c r="E35" s="598" t="n"/>
      <c r="F35" s="598" t="n"/>
      <c r="G35" s="598" t="n"/>
      <c r="H35" s="598" t="n"/>
      <c r="I35" s="598" t="n"/>
      <c r="J35" s="598" t="n"/>
      <c r="K35" s="599" t="n"/>
    </row>
    <row r="36" ht="12.75" customHeight="1" s="588">
      <c r="A36" s="1" t="n"/>
      <c r="B36" s="1" t="n"/>
      <c r="C36" s="1" t="n"/>
      <c r="D36" s="1" t="n"/>
      <c r="E36" s="1" t="n"/>
      <c r="F36" s="1" t="n"/>
      <c r="G36" s="1" t="n"/>
      <c r="H36" s="1" t="n"/>
      <c r="I36" s="1" t="n"/>
      <c r="J36" s="1" t="n"/>
      <c r="K36" s="1" t="n"/>
    </row>
    <row r="37" ht="12.75" customHeight="1" s="588">
      <c r="A37" s="8" t="inlineStr">
        <is>
          <t>¿PARA QUIÉN?</t>
        </is>
      </c>
      <c r="B37" s="1" t="n"/>
      <c r="C37" s="1" t="n"/>
      <c r="D37" s="1" t="n"/>
      <c r="E37" s="1" t="n"/>
      <c r="F37" s="1" t="n"/>
      <c r="G37" s="1" t="n"/>
      <c r="H37" s="1" t="n"/>
      <c r="I37" s="1" t="n"/>
      <c r="J37" s="1" t="n"/>
      <c r="K37" s="1" t="n"/>
    </row>
    <row r="38" ht="12.75" customHeight="1" s="588">
      <c r="A38" s="1" t="n"/>
      <c r="B38" s="1" t="n"/>
      <c r="C38" s="1" t="n"/>
      <c r="D38" s="1" t="n"/>
      <c r="E38" s="1" t="n"/>
      <c r="F38" s="1" t="n"/>
      <c r="G38" s="1" t="n"/>
      <c r="H38" s="1" t="n"/>
      <c r="I38" s="1" t="n"/>
      <c r="J38" s="1" t="n"/>
      <c r="K38" s="1" t="n"/>
    </row>
    <row r="39" ht="12.75" customHeight="1" s="588">
      <c r="A39" s="1" t="n"/>
      <c r="B39" s="1" t="n"/>
      <c r="C39" s="1" t="n"/>
      <c r="D39" s="1" t="n"/>
      <c r="E39" s="1" t="n"/>
      <c r="F39" s="1" t="n"/>
      <c r="G39" s="1" t="n"/>
      <c r="H39" s="1" t="n"/>
      <c r="I39" s="1" t="n"/>
      <c r="J39" s="1" t="n"/>
      <c r="K39" s="1" t="n"/>
      <c r="L39" s="16" t="n"/>
      <c r="M39" s="16" t="n"/>
      <c r="N39" s="16" t="n"/>
      <c r="O39" s="16" t="n"/>
      <c r="P39" s="16" t="n"/>
      <c r="Q39" s="16" t="n"/>
      <c r="R39" s="16" t="n"/>
      <c r="S39" s="16" t="n"/>
      <c r="T39" s="16" t="n"/>
      <c r="U39" s="16" t="n"/>
      <c r="V39" s="16" t="n"/>
      <c r="W39" s="16" t="n"/>
      <c r="X39" s="16" t="n"/>
      <c r="Y39" s="16" t="n"/>
      <c r="Z39" s="16" t="n"/>
    </row>
    <row r="40" ht="12.75" customHeight="1" s="588">
      <c r="A40" s="1" t="n"/>
      <c r="B40" s="1" t="n"/>
      <c r="C40" s="62" t="inlineStr">
        <is>
          <t>Segmentos de Clientes: Identificación y Cuantificación</t>
        </is>
      </c>
      <c r="K40" s="1" t="n"/>
    </row>
    <row r="41" ht="12.75" customHeight="1" s="588">
      <c r="A41" s="1" t="n"/>
      <c r="B41" s="1" t="n"/>
      <c r="C41" s="1" t="n"/>
      <c r="D41" s="1" t="n"/>
      <c r="E41" s="1" t="n"/>
      <c r="F41" s="1" t="n"/>
      <c r="G41" s="1" t="n"/>
      <c r="H41" s="1" t="n"/>
      <c r="I41" s="1" t="n"/>
      <c r="J41" s="1" t="n"/>
      <c r="K41" s="1" t="n"/>
    </row>
    <row r="42" ht="12.75" customHeight="1" s="588">
      <c r="A42" s="1" t="n"/>
      <c r="B42" s="169" t="inlineStr">
        <is>
          <t>Descripción</t>
        </is>
      </c>
      <c r="G42" s="169" t="inlineStr">
        <is>
          <t>Estimación Numérica</t>
        </is>
      </c>
      <c r="I42" s="1" t="n"/>
      <c r="J42" s="169" t="inlineStr">
        <is>
          <t>Fuentes</t>
        </is>
      </c>
      <c r="K42" s="1" t="n"/>
    </row>
    <row r="43" ht="12.75" customHeight="1" s="588">
      <c r="A43" s="1" t="n"/>
      <c r="B43" s="1" t="n"/>
      <c r="C43" s="1" t="n"/>
      <c r="D43" s="1" t="n"/>
      <c r="E43" s="1" t="n"/>
      <c r="F43" s="1" t="n"/>
      <c r="G43" s="1" t="n"/>
      <c r="H43" s="1" t="n"/>
      <c r="I43" s="1" t="n"/>
      <c r="J43" s="1" t="n"/>
      <c r="K43" s="1" t="n"/>
    </row>
    <row r="44" ht="12.75" customHeight="1" s="588">
      <c r="A44" s="178" t="inlineStr">
        <is>
          <t>Segmento 1</t>
        </is>
      </c>
      <c r="B44" s="643" t="inlineStr">
        <is>
          <t>Pymes y micropymes de Ponferrada y El Bierzo (comercio, servicios, construcción, industria auxiliar). Núcleo del negocio: necesitan web operativa, identidad coherente y mantenimiento continuado.</t>
        </is>
      </c>
      <c r="C44" s="593" t="n"/>
      <c r="D44" s="593" t="n"/>
      <c r="E44" s="593" t="n"/>
      <c r="F44" s="594" t="n"/>
      <c r="G44" s="659" t="n">
        <v>6400</v>
      </c>
      <c r="H44" s="594" t="n"/>
      <c r="I44" s="660" t="inlineStr">
        <is>
          <t>Directorios de empresas de Ponferrada (Iberinform / einforma), 2026. Cifra de empresas con domicilio en el municipio; VERIFICAR contra DIRCE-INE antes de presentar el plan.</t>
        </is>
      </c>
      <c r="J44" s="593" t="n"/>
      <c r="K44" s="594" t="n"/>
    </row>
    <row r="45" ht="12.75" customHeight="1" s="588">
      <c r="B45" s="595" t="n"/>
      <c r="F45" s="596" t="n"/>
      <c r="G45" s="595" t="n"/>
      <c r="H45" s="596" t="n"/>
      <c r="I45" s="595" t="n"/>
      <c r="K45" s="596" t="n"/>
    </row>
    <row r="46" ht="12.75" customHeight="1" s="588">
      <c r="B46" s="595" t="n"/>
      <c r="F46" s="596" t="n"/>
      <c r="G46" s="595" t="n"/>
      <c r="H46" s="596" t="n"/>
      <c r="I46" s="595" t="n"/>
      <c r="K46" s="596" t="n"/>
    </row>
    <row r="47" ht="12.75" customHeight="1" s="588">
      <c r="B47" s="597" t="n"/>
      <c r="C47" s="598" t="n"/>
      <c r="D47" s="598" t="n"/>
      <c r="E47" s="598" t="n"/>
      <c r="F47" s="599" t="n"/>
      <c r="G47" s="597" t="n"/>
      <c r="H47" s="599" t="n"/>
      <c r="I47" s="597" t="n"/>
      <c r="J47" s="598" t="n"/>
      <c r="K47" s="599" t="n"/>
    </row>
    <row r="48" ht="12.75" customHeight="1" s="588">
      <c r="A48" s="1" t="n"/>
      <c r="B48" s="1" t="n"/>
      <c r="C48" s="1" t="n"/>
      <c r="D48" s="1" t="n"/>
      <c r="E48" s="1" t="n"/>
      <c r="F48" s="1" t="n"/>
      <c r="G48" s="1" t="n"/>
      <c r="H48" s="1" t="n"/>
      <c r="I48" s="1" t="n"/>
      <c r="J48" s="1" t="n"/>
      <c r="K48" s="1" t="n"/>
    </row>
    <row r="49" ht="12.75" customHeight="1" s="588">
      <c r="A49" s="178" t="inlineStr">
        <is>
          <t>Segmento 2</t>
        </is>
      </c>
      <c r="B49" s="643" t="inlineStr">
        <is>
          <t>Autónomos y profesionales del Bierzo (asesorías, clínicas, abogados, reformas, hostelería, formación). Ticket menor, ciclo de venta corto, alta sensibilidad al precio inicial: entran mejor por cuota que por proyecto.</t>
        </is>
      </c>
      <c r="C49" s="593" t="n"/>
      <c r="D49" s="593" t="n"/>
      <c r="E49" s="593" t="n"/>
      <c r="F49" s="594" t="n"/>
      <c r="G49" s="659" t="n">
        <v>9300</v>
      </c>
      <c r="H49" s="594" t="n"/>
      <c r="I49" s="661" t="inlineStr">
        <is>
          <t>Estimación propia: 34.349 autónomos afiliados al RETA en la provincia de León (Seguridad Social, abril 2026) x 27% de peso poblacional de la comarca del Bierzo. ES UNA ESTIMACIÓN, no un dato oficial comarcal.</t>
        </is>
      </c>
      <c r="J49" s="593" t="n"/>
      <c r="K49" s="594" t="n"/>
    </row>
    <row r="50" ht="12.75" customHeight="1" s="588">
      <c r="B50" s="595" t="n"/>
      <c r="F50" s="596" t="n"/>
      <c r="G50" s="595" t="n"/>
      <c r="H50" s="596" t="n"/>
      <c r="I50" s="595" t="n"/>
      <c r="K50" s="596" t="n"/>
    </row>
    <row r="51" ht="12.75" customHeight="1" s="588">
      <c r="B51" s="595" t="n"/>
      <c r="F51" s="596" t="n"/>
      <c r="G51" s="595" t="n"/>
      <c r="H51" s="596" t="n"/>
      <c r="I51" s="595" t="n"/>
      <c r="K51" s="596" t="n"/>
    </row>
    <row r="52" ht="12.75" customHeight="1" s="588">
      <c r="B52" s="597" t="n"/>
      <c r="C52" s="598" t="n"/>
      <c r="D52" s="598" t="n"/>
      <c r="E52" s="598" t="n"/>
      <c r="F52" s="599" t="n"/>
      <c r="G52" s="597" t="n"/>
      <c r="H52" s="599" t="n"/>
      <c r="I52" s="597" t="n"/>
      <c r="J52" s="598" t="n"/>
      <c r="K52" s="599" t="n"/>
    </row>
    <row r="53" ht="12.75" customHeight="1" s="588">
      <c r="A53" s="1" t="n"/>
      <c r="B53" s="1" t="n"/>
      <c r="C53" s="1" t="n"/>
      <c r="D53" s="1" t="n"/>
      <c r="E53" s="1" t="n"/>
      <c r="F53" s="1" t="n"/>
      <c r="G53" s="1" t="n"/>
      <c r="H53" s="1" t="n"/>
      <c r="I53" s="1" t="n"/>
      <c r="J53" s="1" t="n"/>
      <c r="K53" s="1" t="n"/>
    </row>
    <row r="54" ht="12.75" customHeight="1" s="588">
      <c r="A54" s="178" t="inlineStr">
        <is>
          <t>Segmento 3</t>
        </is>
      </c>
      <c r="B54" s="643" t="inlineStr">
        <is>
          <t>Bodegas de la DO Bierzo y enoturismo. Segmento de mayor valor: web multiidioma, venta online, reservas de visita. Ticket medio muy superior y fuerte efecto demostración dentro del sector.</t>
        </is>
      </c>
      <c r="C54" s="593" t="n"/>
      <c r="D54" s="593" t="n"/>
      <c r="E54" s="593" t="n"/>
      <c r="F54" s="594" t="n"/>
      <c r="G54" s="659" t="n">
        <v>70</v>
      </c>
      <c r="H54" s="594" t="n"/>
      <c r="I54" s="661" t="inlineStr">
        <is>
          <t>Consejo Regulador DO Bierzo (bodegas inscritas, orden de magnitud). CONFIRMAR cifra vigente en crdobierzo.es.</t>
        </is>
      </c>
      <c r="J54" s="593" t="n"/>
      <c r="K54" s="594" t="n"/>
    </row>
    <row r="55" ht="12.75" customHeight="1" s="588">
      <c r="B55" s="595" t="n"/>
      <c r="F55" s="596" t="n"/>
      <c r="G55" s="595" t="n"/>
      <c r="H55" s="596" t="n"/>
      <c r="I55" s="595" t="n"/>
      <c r="K55" s="596" t="n"/>
    </row>
    <row r="56" ht="12.75" customHeight="1" s="588">
      <c r="B56" s="595" t="n"/>
      <c r="F56" s="596" t="n"/>
      <c r="G56" s="595" t="n"/>
      <c r="H56" s="596" t="n"/>
      <c r="I56" s="595" t="n"/>
      <c r="K56" s="596" t="n"/>
    </row>
    <row r="57" ht="12.75" customHeight="1" s="588">
      <c r="B57" s="597" t="n"/>
      <c r="C57" s="598" t="n"/>
      <c r="D57" s="598" t="n"/>
      <c r="E57" s="598" t="n"/>
      <c r="F57" s="599" t="n"/>
      <c r="G57" s="597" t="n"/>
      <c r="H57" s="599" t="n"/>
      <c r="I57" s="597" t="n"/>
      <c r="J57" s="598" t="n"/>
      <c r="K57" s="599" t="n"/>
    </row>
    <row r="58" ht="12.75" customHeight="1" s="588">
      <c r="A58" s="1" t="n"/>
      <c r="B58" s="1" t="n"/>
      <c r="C58" s="1" t="n"/>
      <c r="D58" s="1" t="n"/>
      <c r="E58" s="1" t="n"/>
      <c r="F58" s="1" t="n"/>
      <c r="G58" s="1" t="n"/>
      <c r="H58" s="1" t="n"/>
      <c r="I58" s="1" t="n"/>
      <c r="J58" s="1" t="n"/>
      <c r="K58" s="1" t="n"/>
    </row>
    <row r="59" ht="12.75" customHeight="1" s="588">
      <c r="A59" s="178" t="inlineStr">
        <is>
          <t>Segmento 4</t>
        </is>
      </c>
      <c r="B59" s="643" t="inlineStr">
        <is>
          <t>Alojamiento y hostelería del Camino de Santiago (albergues, casas rurales, restaurantes). Demanda de reserva directa para reducir la comisión de los portales. Estacionalidad marcada: contratar en invierno para la temporada.</t>
        </is>
      </c>
      <c r="C59" s="593" t="n"/>
      <c r="D59" s="593" t="n"/>
      <c r="E59" s="593" t="n"/>
      <c r="F59" s="594" t="n"/>
      <c r="G59" s="659" t="n">
        <v>260</v>
      </c>
      <c r="H59" s="594" t="n"/>
      <c r="I59" s="661" t="inlineStr">
        <is>
          <t>Estimación propia a partir del registro de alojamientos turisticos de la Junta de Castilla y León en la comarca del Bierzo. VERIFICAR.</t>
        </is>
      </c>
      <c r="J59" s="593" t="n"/>
      <c r="K59" s="594" t="n"/>
    </row>
    <row r="60" ht="12.75" customHeight="1" s="588">
      <c r="B60" s="595" t="n"/>
      <c r="F60" s="596" t="n"/>
      <c r="G60" s="595" t="n"/>
      <c r="H60" s="596" t="n"/>
      <c r="I60" s="595" t="n"/>
      <c r="K60" s="596" t="n"/>
    </row>
    <row r="61" ht="12.75" customHeight="1" s="588">
      <c r="B61" s="595" t="n"/>
      <c r="F61" s="596" t="n"/>
      <c r="G61" s="595" t="n"/>
      <c r="H61" s="596" t="n"/>
      <c r="I61" s="595" t="n"/>
      <c r="K61" s="596" t="n"/>
    </row>
    <row r="62" ht="12.75" customHeight="1" s="588">
      <c r="B62" s="597" t="n"/>
      <c r="C62" s="598" t="n"/>
      <c r="D62" s="598" t="n"/>
      <c r="E62" s="598" t="n"/>
      <c r="F62" s="599" t="n"/>
      <c r="G62" s="597" t="n"/>
      <c r="H62" s="599" t="n"/>
      <c r="I62" s="597" t="n"/>
      <c r="J62" s="598" t="n"/>
      <c r="K62" s="599" t="n"/>
    </row>
    <row r="63" ht="12.75" customHeight="1" s="588">
      <c r="A63" s="1" t="n"/>
      <c r="B63" s="1" t="n"/>
      <c r="C63" s="1" t="n"/>
      <c r="D63" s="1" t="n"/>
      <c r="E63" s="1" t="n"/>
      <c r="F63" s="1" t="n"/>
      <c r="G63" s="1" t="n"/>
      <c r="H63" s="1" t="n"/>
      <c r="I63" s="1" t="n"/>
      <c r="J63" s="1" t="n"/>
      <c r="K63" s="1" t="n"/>
    </row>
    <row r="64" ht="12.75" customHeight="1" s="588">
      <c r="A64" s="178" t="inlineStr">
        <is>
          <t>Segmento 5</t>
        </is>
      </c>
      <c r="B64" s="643" t="n"/>
      <c r="C64" s="593" t="n"/>
      <c r="D64" s="593" t="n"/>
      <c r="E64" s="593" t="n"/>
      <c r="F64" s="594" t="n"/>
      <c r="G64" s="659" t="n"/>
      <c r="H64" s="594" t="n"/>
      <c r="I64" s="661" t="n"/>
      <c r="J64" s="593" t="n"/>
      <c r="K64" s="594" t="n"/>
    </row>
    <row r="65" ht="12.75" customHeight="1" s="588">
      <c r="B65" s="595" t="n"/>
      <c r="F65" s="596" t="n"/>
      <c r="G65" s="595" t="n"/>
      <c r="H65" s="596" t="n"/>
      <c r="I65" s="595" t="n"/>
      <c r="K65" s="596" t="n"/>
    </row>
    <row r="66" ht="12.75" customHeight="1" s="588">
      <c r="B66" s="595" t="n"/>
      <c r="F66" s="596" t="n"/>
      <c r="G66" s="595" t="n"/>
      <c r="H66" s="596" t="n"/>
      <c r="I66" s="595" t="n"/>
      <c r="K66" s="596" t="n"/>
    </row>
    <row r="67" ht="12.75" customHeight="1" s="588">
      <c r="B67" s="597" t="n"/>
      <c r="C67" s="598" t="n"/>
      <c r="D67" s="598" t="n"/>
      <c r="E67" s="598" t="n"/>
      <c r="F67" s="599" t="n"/>
      <c r="G67" s="597" t="n"/>
      <c r="H67" s="599" t="n"/>
      <c r="I67" s="597" t="n"/>
      <c r="J67" s="598" t="n"/>
      <c r="K67" s="599" t="n"/>
    </row>
    <row r="68" ht="12.75" customHeight="1" s="588">
      <c r="A68" s="1" t="n"/>
      <c r="B68" s="1" t="n"/>
      <c r="C68" s="1" t="n"/>
      <c r="D68" s="1" t="n"/>
      <c r="E68" s="1" t="n"/>
      <c r="F68" s="1" t="n"/>
      <c r="G68" s="1" t="n"/>
      <c r="H68" s="1" t="n"/>
      <c r="I68" s="1" t="n"/>
      <c r="J68" s="1" t="n"/>
      <c r="K68" s="1" t="n"/>
    </row>
    <row r="69" ht="12.75" customHeight="1" s="588">
      <c r="A69" s="1" t="n"/>
      <c r="B69" s="1" t="n"/>
      <c r="C69" s="1" t="n"/>
      <c r="D69" s="1" t="n"/>
      <c r="E69" s="1" t="n"/>
      <c r="F69" s="1" t="n"/>
      <c r="G69" s="1" t="n"/>
      <c r="H69" s="1" t="n"/>
      <c r="I69" s="1" t="n"/>
      <c r="J69" s="1" t="n"/>
      <c r="K69" s="1" t="n"/>
    </row>
    <row r="70" ht="12.75" customHeight="1" s="588">
      <c r="A70" s="1" t="n"/>
      <c r="B70" s="1" t="n"/>
      <c r="C70" s="1" t="n"/>
      <c r="D70" s="1" t="n"/>
      <c r="E70" s="1" t="n"/>
      <c r="F70" s="1" t="n"/>
      <c r="G70" s="1" t="n"/>
      <c r="H70" s="1" t="n"/>
      <c r="I70" s="1" t="n"/>
      <c r="J70" s="1" t="n"/>
      <c r="K70" s="1" t="n"/>
    </row>
    <row r="71" ht="12.75" customHeight="1" s="588">
      <c r="A71" s="1" t="n"/>
      <c r="B71" s="1" t="n"/>
      <c r="C71" s="1" t="n"/>
      <c r="D71" s="1" t="n"/>
      <c r="E71" s="1" t="n"/>
      <c r="F71" s="1" t="n"/>
      <c r="G71" s="1" t="n"/>
      <c r="H71" s="1" t="n"/>
      <c r="I71" s="1" t="n"/>
      <c r="J71" s="1" t="n"/>
      <c r="K71" s="1" t="n"/>
    </row>
    <row r="72" ht="12.75" customHeight="1" s="588">
      <c r="A72" s="8" t="inlineStr">
        <is>
          <t>¿PARA QUIÉN?</t>
        </is>
      </c>
      <c r="B72" s="1" t="n"/>
      <c r="C72" s="1" t="n"/>
      <c r="D72" s="1" t="n"/>
      <c r="E72" s="1" t="n"/>
      <c r="F72" s="1" t="n"/>
      <c r="G72" s="1" t="n"/>
      <c r="H72" s="1" t="n"/>
      <c r="I72" s="1" t="n"/>
      <c r="J72" s="1" t="n"/>
      <c r="K72" s="1" t="n"/>
    </row>
    <row r="73" ht="12.75" customHeight="1" s="588">
      <c r="A73" s="8" t="n"/>
      <c r="B73" s="1" t="n"/>
      <c r="C73" s="1" t="n"/>
      <c r="D73" s="1" t="n"/>
      <c r="E73" s="1" t="n"/>
      <c r="F73" s="1" t="n"/>
      <c r="G73" s="1" t="n"/>
      <c r="H73" s="1" t="n"/>
      <c r="I73" s="1" t="n"/>
      <c r="J73" s="1" t="n"/>
      <c r="K73" s="1" t="n"/>
      <c r="L73" s="16" t="n"/>
      <c r="M73" s="16" t="n"/>
      <c r="N73" s="16" t="n"/>
      <c r="O73" s="16" t="n"/>
      <c r="P73" s="16" t="n"/>
      <c r="Q73" s="16" t="n"/>
      <c r="R73" s="16" t="n"/>
      <c r="S73" s="16" t="n"/>
      <c r="T73" s="16" t="n"/>
      <c r="U73" s="16" t="n"/>
      <c r="V73" s="16" t="n"/>
      <c r="W73" s="16" t="n"/>
      <c r="X73" s="16" t="n"/>
      <c r="Y73" s="16" t="n"/>
      <c r="Z73" s="16" t="n"/>
    </row>
    <row r="74" ht="12.75" customHeight="1" s="588">
      <c r="A74" s="1" t="n"/>
      <c r="B74" s="1" t="n"/>
      <c r="C74" s="1" t="n"/>
      <c r="D74" s="1" t="n"/>
      <c r="E74" s="1" t="n"/>
      <c r="F74" s="1" t="n"/>
      <c r="G74" s="1" t="n"/>
      <c r="H74" s="1" t="n"/>
      <c r="I74" s="1" t="n"/>
      <c r="J74" s="1" t="n"/>
      <c r="K74" s="1" t="n"/>
    </row>
    <row r="75" ht="12.75" customHeight="1" s="588">
      <c r="A75" s="1" t="n"/>
      <c r="B75" s="1" t="n"/>
      <c r="C75" s="1" t="n"/>
      <c r="D75" s="1" t="n"/>
      <c r="E75" s="1" t="n"/>
      <c r="F75" s="62" t="inlineStr">
        <is>
          <t>Mapas de Empatía</t>
        </is>
      </c>
      <c r="G75" s="1" t="n"/>
      <c r="H75" s="1" t="n"/>
      <c r="I75" s="1" t="n"/>
      <c r="J75" s="1" t="n"/>
      <c r="K75" s="1" t="n"/>
    </row>
    <row r="76" ht="12.75" customHeight="1" s="588">
      <c r="A76" s="1" t="n"/>
      <c r="B76" s="1" t="n"/>
      <c r="C76" s="1" t="n"/>
      <c r="D76" s="1" t="n"/>
      <c r="E76" s="1" t="n"/>
      <c r="F76" s="1" t="n"/>
      <c r="G76" s="1" t="n"/>
      <c r="H76" s="1" t="n"/>
      <c r="I76" s="1" t="n"/>
      <c r="J76" s="1" t="n"/>
      <c r="K76" s="1" t="n"/>
    </row>
    <row r="77" ht="12.75" customHeight="1" s="588">
      <c r="A77" s="1" t="n"/>
      <c r="B77" s="662" t="inlineStr">
        <is>
          <t>¿Qué piensa el Cliente?</t>
        </is>
      </c>
      <c r="C77" s="591" t="n"/>
      <c r="D77" s="662" t="inlineStr">
        <is>
          <t>¿Cómo es su entorno?</t>
        </is>
      </c>
      <c r="E77" s="591" t="n"/>
      <c r="F77" s="662" t="inlineStr">
        <is>
          <t>¿Qué ve en el Mercado?</t>
        </is>
      </c>
      <c r="G77" s="591" t="n"/>
      <c r="H77" s="662" t="inlineStr">
        <is>
          <t>¿Qué dificultades tiene?</t>
        </is>
      </c>
      <c r="I77" s="591" t="n"/>
      <c r="J77" s="662" t="inlineStr">
        <is>
          <t>¿A qué aspira?</t>
        </is>
      </c>
      <c r="K77" s="591" t="n"/>
    </row>
    <row r="78" ht="12.75" customHeight="1" s="588">
      <c r="A78" s="178" t="n"/>
      <c r="B78" s="178" t="n"/>
      <c r="C78" s="1" t="n"/>
      <c r="D78" s="1" t="n"/>
      <c r="E78" s="1" t="n"/>
      <c r="F78" s="1" t="n"/>
      <c r="G78" s="1" t="n"/>
      <c r="H78" s="1" t="n"/>
      <c r="I78" s="1" t="n"/>
      <c r="J78" s="1" t="n"/>
      <c r="K78" s="1" t="n"/>
    </row>
    <row r="79" ht="12.75" customHeight="1" s="588">
      <c r="A79" s="663" t="inlineStr">
        <is>
          <t>Segmento 1</t>
        </is>
      </c>
      <c r="B79" s="664" t="inlineStr">
        <is>
          <t>Que piensa: "mi web está anticuada y no me trae nada, pero cambiarla es un lio y no sé a quién creer".</t>
        </is>
      </c>
      <c r="C79" s="594" t="n"/>
      <c r="D79" s="664" t="inlineStr">
        <is>
          <t>Entorno: 1 a 9 empleados, sin persona dedicada a marketing. La web la hizo alguien que ya no responde.</t>
        </is>
      </c>
      <c r="E79" s="594" t="n"/>
      <c r="F79" s="664" t="inlineStr">
        <is>
          <t>Ve en el mercado: ofertas de 300 EUR y de 3.000 EUR sin entender la diferencia. Desconfianza generalizada.</t>
        </is>
      </c>
      <c r="G79" s="594" t="n"/>
      <c r="H79" s="664" t="inlineStr">
        <is>
          <t>Dificultades: no sabe evaluar una propuesta técnica, teme pagar dos veces y no tiene tiempo para el proyecto.</t>
        </is>
      </c>
      <c r="I79" s="594" t="n"/>
      <c r="J79" s="664" t="inlineStr">
        <is>
          <t>Aspira a: que le entre trabajo por internet sin tener que ocuparse de nada.</t>
        </is>
      </c>
      <c r="K79" s="594" t="n"/>
    </row>
    <row r="80" ht="12.75" customHeight="1" s="588">
      <c r="A80" s="596" t="n"/>
      <c r="B80" s="595" t="n"/>
      <c r="C80" s="596" t="n"/>
      <c r="D80" s="595" t="n"/>
      <c r="E80" s="596" t="n"/>
      <c r="F80" s="595" t="n"/>
      <c r="G80" s="596" t="n"/>
      <c r="H80" s="595" t="n"/>
      <c r="I80" s="596" t="n"/>
      <c r="J80" s="595" t="n"/>
      <c r="K80" s="596" t="n"/>
    </row>
    <row r="81" ht="12.75" customHeight="1" s="588">
      <c r="A81" s="596" t="n"/>
      <c r="B81" s="595" t="n"/>
      <c r="C81" s="596" t="n"/>
      <c r="D81" s="595" t="n"/>
      <c r="E81" s="596" t="n"/>
      <c r="F81" s="595" t="n"/>
      <c r="G81" s="596" t="n"/>
      <c r="H81" s="595" t="n"/>
      <c r="I81" s="596" t="n"/>
      <c r="J81" s="595" t="n"/>
      <c r="K81" s="596" t="n"/>
    </row>
    <row r="82" ht="13.5" customHeight="1" s="588">
      <c r="A82" s="596" t="n"/>
      <c r="B82" s="597" t="n"/>
      <c r="C82" s="599" t="n"/>
      <c r="D82" s="597" t="n"/>
      <c r="E82" s="599" t="n"/>
      <c r="F82" s="597" t="n"/>
      <c r="G82" s="599" t="n"/>
      <c r="H82" s="597" t="n"/>
      <c r="I82" s="599" t="n"/>
      <c r="J82" s="597" t="n"/>
      <c r="K82" s="599" t="n"/>
    </row>
    <row r="83" ht="12.75" customHeight="1" s="588">
      <c r="A83" s="1" t="n"/>
      <c r="B83" s="1" t="n"/>
      <c r="C83" s="1" t="n"/>
      <c r="D83" s="1" t="n"/>
      <c r="E83" s="1" t="n"/>
      <c r="F83" s="1" t="n"/>
      <c r="G83" s="1" t="n"/>
      <c r="H83" s="1" t="n"/>
      <c r="I83" s="1" t="n"/>
      <c r="J83" s="1" t="n"/>
      <c r="K83" s="1" t="n"/>
    </row>
    <row r="84" ht="12.75" customHeight="1" s="588">
      <c r="A84" s="663" t="inlineStr">
        <is>
          <t>Segmento 2</t>
        </is>
      </c>
      <c r="B84" s="642" t="inlineStr">
        <is>
          <t>Que piensa: "invertir en esto me da miedo, no sé si lo voy a recuperar".</t>
        </is>
      </c>
      <c r="C84" s="594" t="n"/>
      <c r="D84" s="642" t="inlineStr">
        <is>
          <t>Entorno: trabaja solo o con una persona. Factura entre 20.000 y 60.000 EUR. Decide en el dia.</t>
        </is>
      </c>
      <c r="E84" s="594" t="n"/>
      <c r="F84" s="642" t="inlineStr">
        <is>
          <t>Ve en el mercado: Wix a 20 EUR/mes frente a presupuestos de 1.200 EUR. Ve precio, no diferencia de valor.</t>
        </is>
      </c>
      <c r="G84" s="594" t="n"/>
      <c r="H84" s="642" t="inlineStr">
        <is>
          <t>Dificultades: presupuesto muy ajustado y cero tiempo. Ya lo intento solo y lo dejo a medias.</t>
        </is>
      </c>
      <c r="I84" s="594" t="n"/>
      <c r="J84" s="642" t="inlineStr">
        <is>
          <t>Aspira a: parecer profesional y aparecer en Google cuando alguien busca su servicio en Ponferrada.</t>
        </is>
      </c>
      <c r="K84" s="594" t="n"/>
    </row>
    <row r="85" ht="12.75" customHeight="1" s="588">
      <c r="A85" s="596" t="n"/>
      <c r="B85" s="595" t="n"/>
      <c r="C85" s="596" t="n"/>
      <c r="D85" s="595" t="n"/>
      <c r="E85" s="596" t="n"/>
      <c r="F85" s="595" t="n"/>
      <c r="G85" s="596" t="n"/>
      <c r="H85" s="595" t="n"/>
      <c r="I85" s="596" t="n"/>
      <c r="J85" s="595" t="n"/>
      <c r="K85" s="596" t="n"/>
    </row>
    <row r="86" ht="12.75" customHeight="1" s="588">
      <c r="A86" s="596" t="n"/>
      <c r="B86" s="595" t="n"/>
      <c r="C86" s="596" t="n"/>
      <c r="D86" s="595" t="n"/>
      <c r="E86" s="596" t="n"/>
      <c r="F86" s="595" t="n"/>
      <c r="G86" s="596" t="n"/>
      <c r="H86" s="595" t="n"/>
      <c r="I86" s="596" t="n"/>
      <c r="J86" s="595" t="n"/>
      <c r="K86" s="596" t="n"/>
    </row>
    <row r="87" ht="12.75" customHeight="1" s="588">
      <c r="A87" s="596" t="n"/>
      <c r="B87" s="597" t="n"/>
      <c r="C87" s="599" t="n"/>
      <c r="D87" s="597" t="n"/>
      <c r="E87" s="599" t="n"/>
      <c r="F87" s="597" t="n"/>
      <c r="G87" s="599" t="n"/>
      <c r="H87" s="597" t="n"/>
      <c r="I87" s="599" t="n"/>
      <c r="J87" s="597" t="n"/>
      <c r="K87" s="599" t="n"/>
    </row>
    <row r="88" ht="13.5" customHeight="1" s="588">
      <c r="A88" s="1" t="n"/>
      <c r="B88" s="1" t="n"/>
      <c r="C88" s="1" t="n"/>
      <c r="D88" s="1" t="n"/>
      <c r="E88" s="1" t="n"/>
      <c r="F88" s="1" t="n"/>
      <c r="G88" s="1" t="n"/>
      <c r="H88" s="1" t="n"/>
      <c r="I88" s="1" t="n"/>
      <c r="J88" s="1" t="n"/>
      <c r="K88" s="1" t="n"/>
    </row>
    <row r="89" ht="12.75" customHeight="1" s="588">
      <c r="A89" s="663" t="inlineStr">
        <is>
          <t>Segmento 3</t>
        </is>
      </c>
      <c r="B89" s="642" t="inlineStr">
        <is>
          <t>Que piensa: "vendo un producto premium y mi web no lo parece; además no la entiende un comprador extranjero".</t>
        </is>
      </c>
      <c r="C89" s="594" t="n"/>
      <c r="D89" s="642" t="inlineStr">
        <is>
          <t>Entorno: bodega familiar o mediana, con distribución y algo de exportación. Estacionalidad de vendimia y enoturismo.</t>
        </is>
      </c>
      <c r="E89" s="594" t="n"/>
      <c r="F89" s="642" t="inlineStr">
        <is>
          <t>Ve en el mercado: bodegas de Rioja y Ribera con webs muy superiores. Compara hacia arriba, no hacia abajo.</t>
        </is>
      </c>
      <c r="G89" s="594" t="n"/>
      <c r="H89" s="642" t="inlineStr">
        <is>
          <t>Dificultades: necesita varios idiomas, venta online con logística de vino y reserva de visitas. Nadie local se lo resuelve entero.</t>
        </is>
      </c>
      <c r="I89" s="594" t="n"/>
      <c r="J89" s="642" t="inlineStr">
        <is>
          <t>Aspira a: vender directo sin intermediario y llenar las visitas de enoturismo todo el año.</t>
        </is>
      </c>
      <c r="K89" s="594" t="n"/>
    </row>
    <row r="90" ht="12.75" customHeight="1" s="588">
      <c r="A90" s="596" t="n"/>
      <c r="B90" s="595" t="n"/>
      <c r="C90" s="596" t="n"/>
      <c r="D90" s="595" t="n"/>
      <c r="E90" s="596" t="n"/>
      <c r="F90" s="595" t="n"/>
      <c r="G90" s="596" t="n"/>
      <c r="H90" s="595" t="n"/>
      <c r="I90" s="596" t="n"/>
      <c r="J90" s="595" t="n"/>
      <c r="K90" s="596" t="n"/>
    </row>
    <row r="91" ht="12.75" customHeight="1" s="588">
      <c r="A91" s="596" t="n"/>
      <c r="B91" s="595" t="n"/>
      <c r="C91" s="596" t="n"/>
      <c r="D91" s="595" t="n"/>
      <c r="E91" s="596" t="n"/>
      <c r="F91" s="595" t="n"/>
      <c r="G91" s="596" t="n"/>
      <c r="H91" s="595" t="n"/>
      <c r="I91" s="596" t="n"/>
      <c r="J91" s="595" t="n"/>
      <c r="K91" s="596" t="n"/>
    </row>
    <row r="92" ht="12.75" customHeight="1" s="588">
      <c r="A92" s="596" t="n"/>
      <c r="B92" s="597" t="n"/>
      <c r="C92" s="599" t="n"/>
      <c r="D92" s="597" t="n"/>
      <c r="E92" s="599" t="n"/>
      <c r="F92" s="597" t="n"/>
      <c r="G92" s="599" t="n"/>
      <c r="H92" s="597" t="n"/>
      <c r="I92" s="599" t="n"/>
      <c r="J92" s="597" t="n"/>
      <c r="K92" s="599" t="n"/>
    </row>
    <row r="93" ht="12.75" customHeight="1" s="588">
      <c r="A93" s="1" t="n"/>
      <c r="B93" s="1" t="n"/>
      <c r="C93" s="1" t="n"/>
      <c r="D93" s="1" t="n"/>
      <c r="E93" s="1" t="n"/>
      <c r="F93" s="1" t="n"/>
      <c r="G93" s="1" t="n"/>
      <c r="H93" s="1" t="n"/>
      <c r="I93" s="1" t="n"/>
      <c r="J93" s="1" t="n"/>
      <c r="K93" s="1" t="n"/>
    </row>
    <row r="94" ht="12.75" customHeight="1" s="588">
      <c r="A94" s="663" t="inlineStr">
        <is>
          <t>Segmento 4</t>
        </is>
      </c>
      <c r="B94" s="642" t="inlineStr">
        <is>
          <t>Que piensa: "Booking se lleva el 18% de cada reserva y no puedo hacer nada".</t>
        </is>
      </c>
      <c r="C94" s="594" t="n"/>
      <c r="D94" s="642" t="inlineStr">
        <is>
          <t>Entorno: albergue, casa rural o restaurante en el Camino. Temporada fuerte de mayo a octubre.</t>
        </is>
      </c>
      <c r="E94" s="594" t="n"/>
      <c r="F94" s="642" t="inlineStr">
        <is>
          <t>Ve en el mercado: dependencia total de portales y de las resenas.</t>
        </is>
      </c>
      <c r="G94" s="594" t="n"/>
      <c r="H94" s="642" t="inlineStr">
        <is>
          <t>Dificultades: no tiene motor de reserva propio ni sabe integrarlo. Fuera de temporada no tiene ingresos para invertir.</t>
        </is>
      </c>
      <c r="I94" s="594" t="n"/>
      <c r="J94" s="642" t="inlineStr">
        <is>
          <t>Aspira a: reserva directa y clientes que repitan sin pagar comisión.</t>
        </is>
      </c>
      <c r="K94" s="594" t="n"/>
    </row>
    <row r="95" ht="12.75" customHeight="1" s="588">
      <c r="A95" s="596" t="n"/>
      <c r="B95" s="595" t="n"/>
      <c r="C95" s="596" t="n"/>
      <c r="D95" s="595" t="n"/>
      <c r="E95" s="596" t="n"/>
      <c r="F95" s="595" t="n"/>
      <c r="G95" s="596" t="n"/>
      <c r="H95" s="595" t="n"/>
      <c r="I95" s="596" t="n"/>
      <c r="J95" s="595" t="n"/>
      <c r="K95" s="596" t="n"/>
    </row>
    <row r="96" ht="12.75" customHeight="1" s="588">
      <c r="A96" s="596" t="n"/>
      <c r="B96" s="595" t="n"/>
      <c r="C96" s="596" t="n"/>
      <c r="D96" s="595" t="n"/>
      <c r="E96" s="596" t="n"/>
      <c r="F96" s="595" t="n"/>
      <c r="G96" s="596" t="n"/>
      <c r="H96" s="595" t="n"/>
      <c r="I96" s="596" t="n"/>
      <c r="J96" s="595" t="n"/>
      <c r="K96" s="596" t="n"/>
    </row>
    <row r="97" ht="12.75" customHeight="1" s="588">
      <c r="A97" s="596" t="n"/>
      <c r="B97" s="597" t="n"/>
      <c r="C97" s="599" t="n"/>
      <c r="D97" s="597" t="n"/>
      <c r="E97" s="599" t="n"/>
      <c r="F97" s="597" t="n"/>
      <c r="G97" s="599" t="n"/>
      <c r="H97" s="597" t="n"/>
      <c r="I97" s="599" t="n"/>
      <c r="J97" s="597" t="n"/>
      <c r="K97" s="599" t="n"/>
    </row>
    <row r="98" ht="12.75" customHeight="1" s="588">
      <c r="A98" s="1" t="n"/>
      <c r="B98" s="1" t="n"/>
      <c r="C98" s="1" t="n"/>
      <c r="D98" s="1" t="n"/>
      <c r="E98" s="1" t="n"/>
      <c r="F98" s="1" t="n"/>
      <c r="G98" s="1" t="n"/>
      <c r="H98" s="1" t="n"/>
      <c r="I98" s="1" t="n"/>
      <c r="J98" s="1" t="n"/>
      <c r="K98" s="1" t="n"/>
    </row>
    <row r="99" ht="12.75" customHeight="1" s="588">
      <c r="A99" s="663" t="inlineStr">
        <is>
          <t>Segmento 5</t>
        </is>
      </c>
      <c r="B99" s="642" t="inlineStr">
        <is>
          <t>Que piensa: "necesito quitarme de encima este encargo web sin perder al cliente".</t>
        </is>
      </c>
      <c r="C99" s="594" t="n"/>
      <c r="D99" s="642" t="inlineStr">
        <is>
          <t>Entorno: agencia, imprenta o gestoría del Bierzo con cliente que pide algo fuera de su alcance.</t>
        </is>
      </c>
      <c r="E99" s="594" t="n"/>
      <c r="F99" s="642" t="inlineStr">
        <is>
          <t>Ve en el mercado: freelances poco fiables que le dejan tirado ante su propio cliente.</t>
        </is>
      </c>
      <c r="G99" s="594" t="n"/>
      <c r="H99" s="642" t="inlineStr">
        <is>
          <t>Dificultades: necesita cumplimiento de plazos y discreción. No puede arriesgar su relación comercial.</t>
        </is>
      </c>
      <c r="I99" s="594" t="n"/>
      <c r="J99" s="642" t="inlineStr">
        <is>
          <t>Aspira a: un proveedor de confianza al que derivar sin supervisar.</t>
        </is>
      </c>
      <c r="K99" s="594" t="n"/>
    </row>
    <row r="100" ht="12.75" customHeight="1" s="588">
      <c r="A100" s="596" t="n"/>
      <c r="B100" s="595" t="n"/>
      <c r="C100" s="596" t="n"/>
      <c r="D100" s="595" t="n"/>
      <c r="E100" s="596" t="n"/>
      <c r="F100" s="595" t="n"/>
      <c r="G100" s="596" t="n"/>
      <c r="H100" s="595" t="n"/>
      <c r="I100" s="596" t="n"/>
      <c r="J100" s="595" t="n"/>
      <c r="K100" s="596" t="n"/>
    </row>
    <row r="101" ht="12.75" customHeight="1" s="588">
      <c r="A101" s="596" t="n"/>
      <c r="B101" s="595" t="n"/>
      <c r="C101" s="596" t="n"/>
      <c r="D101" s="595" t="n"/>
      <c r="E101" s="596" t="n"/>
      <c r="F101" s="595" t="n"/>
      <c r="G101" s="596" t="n"/>
      <c r="H101" s="595" t="n"/>
      <c r="I101" s="596" t="n"/>
      <c r="J101" s="595" t="n"/>
      <c r="K101" s="596" t="n"/>
    </row>
    <row r="102" ht="12.75" customHeight="1" s="588">
      <c r="A102" s="596" t="n"/>
      <c r="B102" s="597" t="n"/>
      <c r="C102" s="599" t="n"/>
      <c r="D102" s="597" t="n"/>
      <c r="E102" s="599" t="n"/>
      <c r="F102" s="597" t="n"/>
      <c r="G102" s="599" t="n"/>
      <c r="H102" s="597" t="n"/>
      <c r="I102" s="599" t="n"/>
      <c r="J102" s="597" t="n"/>
      <c r="K102" s="599" t="n"/>
    </row>
    <row r="103" ht="12.75" customHeight="1" s="588">
      <c r="A103" s="1" t="n"/>
      <c r="B103" s="1" t="n"/>
      <c r="C103" s="1" t="n"/>
      <c r="D103" s="1" t="n"/>
      <c r="E103" s="1" t="n"/>
      <c r="F103" s="1" t="n"/>
      <c r="G103" s="1" t="n"/>
      <c r="H103" s="1" t="n"/>
      <c r="I103" s="1" t="n"/>
      <c r="J103" s="1" t="n"/>
      <c r="K103" s="1" t="n"/>
    </row>
    <row r="104" ht="12.75" customHeight="1" s="588">
      <c r="A104" s="1" t="n"/>
      <c r="B104" s="1" t="n"/>
      <c r="C104" s="1" t="n"/>
      <c r="D104" s="1" t="n"/>
      <c r="E104" s="1" t="n"/>
      <c r="F104" s="1" t="n"/>
      <c r="G104" s="1" t="n"/>
      <c r="H104" s="1" t="n"/>
      <c r="I104" s="1" t="n"/>
      <c r="J104" s="1" t="n"/>
      <c r="K104" s="1" t="n"/>
    </row>
    <row r="105" ht="12.75" customHeight="1" s="588">
      <c r="A105" s="1" t="n"/>
      <c r="B105" s="1" t="n"/>
      <c r="C105" s="1" t="n"/>
      <c r="D105" s="1" t="n"/>
      <c r="E105" s="1" t="n"/>
      <c r="F105" s="1" t="n"/>
      <c r="G105" s="1" t="n"/>
      <c r="H105" s="1" t="n"/>
      <c r="I105" s="1" t="n"/>
      <c r="J105" s="1" t="n"/>
      <c r="K105" s="72" t="inlineStr">
        <is>
          <t>Inspirado en el Diagrama de Empatía desarrollado por XPLANE</t>
        </is>
      </c>
    </row>
    <row r="106" ht="12.75" customHeight="1" s="588">
      <c r="A106" s="8" t="inlineStr">
        <is>
          <t>¿PARA QUIÉN?</t>
        </is>
      </c>
      <c r="B106" s="1" t="n"/>
      <c r="C106" s="1" t="n"/>
      <c r="D106" s="1" t="n"/>
      <c r="E106" s="1" t="n"/>
      <c r="F106" s="1" t="n"/>
      <c r="G106" s="1" t="n"/>
      <c r="H106" s="1" t="n"/>
      <c r="I106" s="1" t="n"/>
      <c r="J106" s="1" t="n"/>
      <c r="K106" s="1" t="n"/>
    </row>
    <row r="107" ht="12.75" customHeight="1" s="588">
      <c r="A107" s="1" t="n"/>
      <c r="B107" s="1" t="n"/>
      <c r="C107" s="1" t="n"/>
      <c r="D107" s="1" t="n"/>
      <c r="E107" s="1" t="n"/>
      <c r="F107" s="1" t="n"/>
      <c r="G107" s="1" t="n"/>
      <c r="H107" s="1" t="n"/>
      <c r="I107" s="1" t="n"/>
      <c r="J107" s="1" t="n"/>
      <c r="K107" s="1" t="n"/>
    </row>
    <row r="108" ht="12.75" customHeight="1" s="588">
      <c r="A108" s="1" t="n"/>
      <c r="B108" s="1" t="n"/>
      <c r="C108" s="1" t="n"/>
      <c r="D108" s="1" t="n"/>
      <c r="E108" s="1" t="n"/>
      <c r="F108" s="1" t="n"/>
      <c r="G108" s="1" t="n"/>
      <c r="H108" s="1" t="n"/>
      <c r="I108" s="1" t="n"/>
      <c r="J108" s="1" t="n"/>
      <c r="K108" s="1" t="n"/>
      <c r="L108" s="16" t="n"/>
      <c r="M108" s="16" t="n"/>
      <c r="N108" s="16" t="n"/>
      <c r="O108" s="16" t="n"/>
      <c r="P108" s="16" t="n"/>
      <c r="Q108" s="16" t="n"/>
      <c r="R108" s="16" t="n"/>
      <c r="S108" s="16" t="n"/>
      <c r="T108" s="16" t="n"/>
      <c r="U108" s="16" t="n"/>
      <c r="V108" s="16" t="n"/>
      <c r="W108" s="16" t="n"/>
      <c r="X108" s="16" t="n"/>
      <c r="Y108" s="16" t="n"/>
      <c r="Z108" s="16" t="n"/>
    </row>
    <row r="109" ht="12.75" customHeight="1" s="588">
      <c r="A109" s="1" t="n"/>
      <c r="B109" s="1" t="n"/>
      <c r="C109" s="1" t="n"/>
      <c r="D109" s="1" t="n"/>
      <c r="E109" s="1" t="n"/>
      <c r="F109" s="62" t="inlineStr">
        <is>
          <t>Segmentos alternativos de Clientes</t>
        </is>
      </c>
      <c r="G109" s="1" t="n"/>
      <c r="H109" s="1" t="n"/>
      <c r="I109" s="1" t="n"/>
      <c r="J109" s="1" t="n"/>
      <c r="K109" s="1" t="n"/>
    </row>
    <row r="110" ht="12.75" customHeight="1" s="588">
      <c r="A110" s="1" t="n"/>
      <c r="B110" s="1" t="n"/>
      <c r="C110" s="1" t="n"/>
      <c r="D110" s="1" t="n"/>
      <c r="E110" s="1" t="n"/>
      <c r="F110" s="1" t="n"/>
      <c r="G110" s="1" t="n"/>
      <c r="H110" s="1" t="n"/>
      <c r="I110" s="1" t="n"/>
      <c r="J110" s="1" t="n"/>
      <c r="K110" s="1" t="n"/>
    </row>
    <row r="111" ht="12.75" customHeight="1" s="588">
      <c r="A111" s="1" t="n"/>
      <c r="B111" s="169" t="inlineStr">
        <is>
          <t>Descripción</t>
        </is>
      </c>
      <c r="G111" s="169" t="inlineStr">
        <is>
          <t>Estimación Numérica</t>
        </is>
      </c>
      <c r="I111" s="1" t="n"/>
      <c r="J111" s="169" t="inlineStr">
        <is>
          <t>Fuentes</t>
        </is>
      </c>
      <c r="K111" s="1" t="n"/>
    </row>
    <row r="112" ht="12.75" customHeight="1" s="588">
      <c r="A112" s="1" t="n"/>
      <c r="B112" s="1" t="n"/>
      <c r="C112" s="1" t="n"/>
      <c r="D112" s="1" t="n"/>
      <c r="E112" s="1" t="n"/>
      <c r="F112" s="1" t="n"/>
      <c r="G112" s="1" t="n"/>
      <c r="H112" s="1" t="n"/>
      <c r="I112" s="1" t="n"/>
      <c r="J112" s="1" t="n"/>
      <c r="K112" s="1" t="n"/>
    </row>
    <row r="113" ht="12.75" customHeight="1" s="588">
      <c r="A113" s="665" t="inlineStr">
        <is>
          <t>Segmento Alternativo 1</t>
        </is>
      </c>
      <c r="B113" s="643" t="inlineStr">
        <is>
          <t>Agencias de marketing, imprentas, rotulación y gestorías del Bierzo y León como PRESCRIPTORES, no como clientes finales: subcontratan la producción web y gráfica que no cubren. Margen menor pero flujo estable y sin coste de captación.</t>
        </is>
      </c>
      <c r="C113" s="593" t="n"/>
      <c r="D113" s="593" t="n"/>
      <c r="E113" s="593" t="n"/>
      <c r="F113" s="594" t="n"/>
      <c r="G113" s="659" t="n">
        <v>60</v>
      </c>
      <c r="H113" s="594" t="n"/>
      <c r="I113" s="661" t="inlineStr">
        <is>
          <t>Directorio de agencias y servicios de marketing de la provincia de León.</t>
        </is>
      </c>
      <c r="J113" s="593" t="n"/>
      <c r="K113" s="594" t="n"/>
    </row>
    <row r="114" ht="12.75" customHeight="1" s="588">
      <c r="B114" s="595" t="n"/>
      <c r="F114" s="596" t="n"/>
      <c r="G114" s="595" t="n"/>
      <c r="H114" s="596" t="n"/>
      <c r="I114" s="595" t="n"/>
      <c r="K114" s="596" t="n"/>
    </row>
    <row r="115" ht="12.75" customHeight="1" s="588">
      <c r="B115" s="595" t="n"/>
      <c r="F115" s="596" t="n"/>
      <c r="G115" s="595" t="n"/>
      <c r="H115" s="596" t="n"/>
      <c r="I115" s="595" t="n"/>
      <c r="K115" s="596" t="n"/>
    </row>
    <row r="116" ht="12.75" customHeight="1" s="588">
      <c r="B116" s="597" t="n"/>
      <c r="C116" s="598" t="n"/>
      <c r="D116" s="598" t="n"/>
      <c r="E116" s="598" t="n"/>
      <c r="F116" s="599" t="n"/>
      <c r="G116" s="597" t="n"/>
      <c r="H116" s="599" t="n"/>
      <c r="I116" s="597" t="n"/>
      <c r="J116" s="598" t="n"/>
      <c r="K116" s="599" t="n"/>
    </row>
    <row r="117" ht="12.75" customHeight="1" s="588">
      <c r="A117" s="1" t="n"/>
      <c r="B117" s="1" t="n"/>
      <c r="C117" s="1" t="n"/>
      <c r="D117" s="1" t="n"/>
      <c r="E117" s="1" t="n"/>
      <c r="F117" s="1" t="n"/>
      <c r="G117" s="1" t="n"/>
      <c r="H117" s="1" t="n"/>
      <c r="I117" s="1" t="n"/>
      <c r="J117" s="1" t="n"/>
      <c r="K117" s="1" t="n"/>
    </row>
    <row r="118" ht="12.75" customHeight="1" s="588">
      <c r="A118" s="665" t="inlineStr">
        <is>
          <t>Segmento Alternativo 2</t>
        </is>
      </c>
      <c r="B118" s="643" t="inlineStr">
        <is>
          <t>Clientes en remoto fuera del Bierzo captados por recomendación o por posicionamiento orgánico. Sin coste de captación pero sin ventaja de proximidad: se acepta lo que llegue, no se persigue.</t>
        </is>
      </c>
      <c r="C118" s="593" t="n"/>
      <c r="D118" s="593" t="n"/>
      <c r="E118" s="593" t="n"/>
      <c r="F118" s="594" t="n"/>
      <c r="G118" s="659" t="n">
        <v>0</v>
      </c>
      <c r="H118" s="594" t="n"/>
      <c r="I118" s="661" t="inlineStr">
        <is>
          <t>No cuantificado: canal oportunista, no planificado.</t>
        </is>
      </c>
      <c r="J118" s="593" t="n"/>
      <c r="K118" s="594" t="n"/>
    </row>
    <row r="119" ht="12.75" customHeight="1" s="588">
      <c r="B119" s="595" t="n"/>
      <c r="F119" s="596" t="n"/>
      <c r="G119" s="595" t="n"/>
      <c r="H119" s="596" t="n"/>
      <c r="I119" s="595" t="n"/>
      <c r="K119" s="596" t="n"/>
    </row>
    <row r="120" ht="12.75" customHeight="1" s="588">
      <c r="B120" s="595" t="n"/>
      <c r="F120" s="596" t="n"/>
      <c r="G120" s="595" t="n"/>
      <c r="H120" s="596" t="n"/>
      <c r="I120" s="595" t="n"/>
      <c r="K120" s="596" t="n"/>
    </row>
    <row r="121" ht="12.75" customHeight="1" s="588">
      <c r="B121" s="597" t="n"/>
      <c r="C121" s="598" t="n"/>
      <c r="D121" s="598" t="n"/>
      <c r="E121" s="598" t="n"/>
      <c r="F121" s="599" t="n"/>
      <c r="G121" s="597" t="n"/>
      <c r="H121" s="599" t="n"/>
      <c r="I121" s="597" t="n"/>
      <c r="J121" s="598" t="n"/>
      <c r="K121" s="599" t="n"/>
    </row>
    <row r="122" ht="12.75" customHeight="1" s="588">
      <c r="A122" s="1" t="n"/>
      <c r="B122" s="1" t="n"/>
      <c r="C122" s="1" t="n"/>
      <c r="D122" s="1" t="n"/>
      <c r="E122" s="1" t="n"/>
      <c r="F122" s="1" t="n"/>
      <c r="G122" s="1" t="n"/>
      <c r="H122" s="1" t="n"/>
      <c r="I122" s="1" t="n"/>
      <c r="J122" s="1" t="n"/>
      <c r="K122" s="1" t="n"/>
    </row>
    <row r="123" ht="12.75" customHeight="1" s="588">
      <c r="A123" s="665" t="inlineStr">
        <is>
          <t>Segmento Alternativo 3</t>
        </is>
      </c>
      <c r="B123" s="643" t="n"/>
      <c r="C123" s="593" t="n"/>
      <c r="D123" s="593" t="n"/>
      <c r="E123" s="593" t="n"/>
      <c r="F123" s="594" t="n"/>
      <c r="G123" s="659" t="n"/>
      <c r="H123" s="594" t="n"/>
      <c r="I123" s="661" t="n"/>
      <c r="J123" s="593" t="n"/>
      <c r="K123" s="594" t="n"/>
    </row>
    <row r="124" ht="12.75" customHeight="1" s="588">
      <c r="B124" s="595" t="n"/>
      <c r="F124" s="596" t="n"/>
      <c r="G124" s="595" t="n"/>
      <c r="H124" s="596" t="n"/>
      <c r="I124" s="595" t="n"/>
      <c r="K124" s="596" t="n"/>
    </row>
    <row r="125" ht="12.75" customHeight="1" s="588">
      <c r="B125" s="595" t="n"/>
      <c r="F125" s="596" t="n"/>
      <c r="G125" s="595" t="n"/>
      <c r="H125" s="596" t="n"/>
      <c r="I125" s="595" t="n"/>
      <c r="K125" s="596" t="n"/>
    </row>
    <row r="126" ht="12.75" customHeight="1" s="588">
      <c r="B126" s="597" t="n"/>
      <c r="C126" s="598" t="n"/>
      <c r="D126" s="598" t="n"/>
      <c r="E126" s="598" t="n"/>
      <c r="F126" s="599" t="n"/>
      <c r="G126" s="597" t="n"/>
      <c r="H126" s="599" t="n"/>
      <c r="I126" s="597" t="n"/>
      <c r="J126" s="598" t="n"/>
      <c r="K126" s="599" t="n"/>
    </row>
    <row r="127" ht="12.75" customHeight="1" s="588">
      <c r="A127" s="1" t="n"/>
      <c r="B127" s="1" t="n"/>
      <c r="C127" s="1" t="n"/>
      <c r="D127" s="1" t="n"/>
      <c r="E127" s="1" t="n"/>
      <c r="F127" s="1" t="n"/>
      <c r="G127" s="1" t="n"/>
      <c r="H127" s="1" t="n"/>
      <c r="I127" s="1" t="n"/>
      <c r="J127" s="1" t="n"/>
      <c r="K127" s="1" t="n"/>
    </row>
    <row r="128" ht="12.75" customHeight="1" s="588">
      <c r="A128" s="1" t="n"/>
      <c r="B128" s="1" t="n"/>
      <c r="C128" s="1" t="n"/>
      <c r="D128" s="1" t="n"/>
      <c r="E128" s="1" t="n"/>
      <c r="F128" s="1" t="n"/>
      <c r="G128" s="1" t="n"/>
      <c r="H128" s="1" t="n"/>
      <c r="I128" s="1" t="n"/>
      <c r="J128" s="1" t="n"/>
      <c r="K128" s="1" t="n"/>
    </row>
    <row r="129" ht="12.75" customHeight="1" s="588">
      <c r="A129" s="1" t="n"/>
      <c r="B129" s="1" t="n"/>
      <c r="C129" s="1" t="n"/>
      <c r="D129" s="1" t="n"/>
      <c r="E129" s="1" t="n"/>
      <c r="F129" s="1" t="n"/>
      <c r="G129" s="1" t="n"/>
      <c r="H129" s="1" t="n"/>
      <c r="I129" s="1" t="n"/>
      <c r="J129" s="1" t="n"/>
      <c r="K129" s="1" t="n"/>
    </row>
    <row r="130" ht="12.75" customHeight="1" s="588">
      <c r="A130" s="1" t="n"/>
      <c r="B130" s="1" t="n"/>
      <c r="C130" s="1" t="n"/>
      <c r="D130" s="1" t="n"/>
      <c r="E130" s="1" t="n"/>
      <c r="F130" s="1" t="n"/>
      <c r="G130" s="1" t="n"/>
      <c r="H130" s="1" t="n"/>
      <c r="I130" s="1" t="n"/>
      <c r="J130" s="1" t="n"/>
      <c r="K130" s="1" t="n"/>
    </row>
    <row r="131" ht="12.75" customHeight="1" s="588">
      <c r="A131" s="1" t="n"/>
      <c r="B131" s="1" t="n"/>
      <c r="C131" s="1" t="n"/>
      <c r="D131" s="1" t="n"/>
      <c r="E131" s="1" t="n"/>
      <c r="F131" s="1" t="n"/>
      <c r="G131" s="1" t="n"/>
      <c r="H131" s="1" t="n"/>
      <c r="I131" s="1" t="n"/>
      <c r="J131" s="1" t="n"/>
      <c r="K131" s="1" t="n"/>
    </row>
    <row r="132" ht="12.75" customHeight="1" s="588">
      <c r="A132" s="1" t="n"/>
      <c r="B132" s="1" t="n"/>
      <c r="C132" s="1" t="n"/>
      <c r="D132" s="1" t="n"/>
      <c r="E132" s="1" t="n"/>
      <c r="F132" s="1" t="n"/>
      <c r="G132" s="1" t="n"/>
      <c r="H132" s="1" t="n"/>
      <c r="I132" s="1" t="n"/>
      <c r="J132" s="1" t="n"/>
      <c r="K132" s="1" t="n"/>
    </row>
    <row r="133" ht="12.75" customHeight="1" s="588">
      <c r="A133" s="1" t="n"/>
      <c r="B133" s="1" t="n"/>
      <c r="C133" s="1" t="n"/>
      <c r="D133" s="1" t="n"/>
      <c r="E133" s="1" t="n"/>
      <c r="F133" s="1" t="n"/>
      <c r="G133" s="1" t="n"/>
      <c r="H133" s="1" t="n"/>
      <c r="I133" s="1" t="n"/>
      <c r="J133" s="1" t="n"/>
      <c r="K133" s="1" t="n"/>
    </row>
    <row r="134" ht="12.75" customHeight="1" s="588">
      <c r="A134" s="1" t="n"/>
      <c r="B134" s="1" t="n"/>
      <c r="C134" s="1" t="n"/>
      <c r="D134" s="1" t="n"/>
      <c r="E134" s="1" t="n"/>
      <c r="F134" s="1" t="n"/>
      <c r="G134" s="1" t="n"/>
      <c r="H134" s="1" t="n"/>
      <c r="I134" s="1" t="n"/>
      <c r="J134" s="1" t="n"/>
      <c r="K134" s="1" t="n"/>
    </row>
    <row r="135" ht="12.75" customHeight="1" s="588">
      <c r="A135" s="1" t="n"/>
      <c r="B135" s="1" t="n"/>
      <c r="C135" s="1" t="n"/>
      <c r="D135" s="1" t="n"/>
      <c r="E135" s="1" t="n"/>
      <c r="F135" s="1" t="n"/>
      <c r="G135" s="1" t="n"/>
      <c r="H135" s="1" t="n"/>
      <c r="I135" s="1" t="n"/>
      <c r="J135" s="1" t="n"/>
      <c r="K135" s="1" t="n"/>
    </row>
    <row r="136" ht="12.75" customHeight="1" s="588">
      <c r="A136" s="1" t="n"/>
      <c r="B136" s="1" t="n"/>
      <c r="C136" s="1" t="n"/>
      <c r="D136" s="1" t="n"/>
      <c r="E136" s="1" t="n"/>
      <c r="F136" s="1" t="n"/>
      <c r="G136" s="1" t="n"/>
      <c r="H136" s="1" t="n"/>
      <c r="I136" s="1" t="n"/>
      <c r="J136" s="1" t="n"/>
      <c r="K136" s="1" t="n"/>
    </row>
    <row r="137" ht="12.75" customHeight="1" s="588">
      <c r="A137" s="1" t="n"/>
      <c r="B137" s="1" t="n"/>
      <c r="C137" s="1" t="n"/>
      <c r="D137" s="1" t="n"/>
      <c r="E137" s="1" t="n"/>
      <c r="F137" s="1" t="n"/>
      <c r="G137" s="1" t="n"/>
      <c r="H137" s="1" t="n"/>
      <c r="I137" s="1" t="n"/>
      <c r="J137" s="1" t="n"/>
      <c r="K137" s="1" t="n"/>
    </row>
    <row r="138" ht="12.75" customHeight="1" s="588">
      <c r="A138" s="1" t="n"/>
      <c r="B138" s="1" t="n"/>
      <c r="C138" s="1" t="n"/>
      <c r="D138" s="1" t="n"/>
      <c r="E138" s="1" t="n"/>
      <c r="F138" s="1" t="n"/>
      <c r="G138" s="1" t="n"/>
      <c r="H138" s="1" t="n"/>
      <c r="I138" s="1" t="n"/>
      <c r="J138" s="1" t="n"/>
      <c r="K138" s="1" t="n"/>
    </row>
    <row r="139" ht="12.75" customHeight="1" s="588">
      <c r="A139" s="1" t="n"/>
      <c r="B139" s="1" t="n"/>
      <c r="C139" s="1" t="n"/>
      <c r="D139" s="1" t="n"/>
      <c r="E139" s="1" t="n"/>
      <c r="F139" s="1" t="n"/>
      <c r="G139" s="1" t="n"/>
      <c r="H139" s="1" t="n"/>
      <c r="I139" s="1" t="n"/>
      <c r="J139" s="1" t="n"/>
      <c r="K139" s="1" t="n"/>
    </row>
    <row r="140" ht="12.75" customHeight="1" s="588">
      <c r="A140" s="1" t="n"/>
      <c r="B140" s="1" t="n"/>
      <c r="C140" s="1" t="n"/>
      <c r="D140" s="1" t="n"/>
      <c r="E140" s="1" t="n"/>
      <c r="F140" s="1" t="n"/>
      <c r="G140" s="1" t="n"/>
      <c r="H140" s="1" t="n"/>
      <c r="I140" s="1" t="n"/>
      <c r="J140" s="1" t="n"/>
      <c r="K140" s="1" t="n"/>
    </row>
    <row r="141" ht="12.75" customHeight="1" s="588">
      <c r="A141" s="8" t="inlineStr">
        <is>
          <t>¿PARA QUIÉN?</t>
        </is>
      </c>
      <c r="B141" s="1" t="n"/>
      <c r="C141" s="1" t="n"/>
      <c r="D141" s="1" t="n"/>
      <c r="E141" s="1" t="n"/>
      <c r="F141" s="1" t="n"/>
      <c r="G141" s="1" t="n"/>
      <c r="H141" s="1" t="n"/>
      <c r="I141" s="1" t="n"/>
      <c r="J141" s="1" t="n"/>
      <c r="K141" s="1" t="n"/>
    </row>
    <row r="142" ht="12.75" customHeight="1" s="588">
      <c r="A142" s="8" t="n"/>
      <c r="B142" s="1" t="n"/>
      <c r="C142" s="1" t="n"/>
      <c r="D142" s="1" t="n"/>
      <c r="E142" s="1" t="n"/>
      <c r="F142" s="1" t="n"/>
      <c r="G142" s="1" t="n"/>
      <c r="H142" s="1" t="n"/>
      <c r="I142" s="1" t="n"/>
      <c r="J142" s="1" t="n"/>
      <c r="K142" s="1" t="n"/>
      <c r="L142" s="16" t="n"/>
      <c r="M142" s="16" t="n"/>
      <c r="N142" s="16" t="n"/>
      <c r="O142" s="16" t="n"/>
      <c r="P142" s="16" t="n"/>
      <c r="Q142" s="16" t="n"/>
      <c r="R142" s="16" t="n"/>
      <c r="S142" s="16" t="n"/>
      <c r="T142" s="16" t="n"/>
      <c r="U142" s="16" t="n"/>
      <c r="V142" s="16" t="n"/>
      <c r="W142" s="16" t="n"/>
      <c r="X142" s="16" t="n"/>
      <c r="Y142" s="16" t="n"/>
      <c r="Z142" s="16" t="n"/>
    </row>
    <row r="143" ht="12.75" customHeight="1" s="588">
      <c r="A143" s="1" t="n"/>
      <c r="B143" s="1" t="n"/>
      <c r="C143" s="1" t="n"/>
      <c r="D143" s="1" t="n"/>
      <c r="E143" s="1" t="n"/>
      <c r="F143" s="1" t="n"/>
      <c r="G143" s="1" t="n"/>
      <c r="H143" s="1" t="n"/>
      <c r="I143" s="1" t="n"/>
      <c r="J143" s="1" t="n"/>
      <c r="K143" s="1" t="n"/>
    </row>
    <row r="144" ht="12.75" customHeight="1" s="588">
      <c r="A144" s="1" t="n"/>
      <c r="B144" s="1" t="n"/>
      <c r="C144" s="1" t="n"/>
      <c r="D144" s="1" t="n"/>
      <c r="E144" s="1" t="n"/>
      <c r="F144" s="62" t="inlineStr">
        <is>
          <t>Cálculo del Mercado Potencial</t>
        </is>
      </c>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c r="A146" s="1" t="n"/>
      <c r="B146" s="1" t="n"/>
      <c r="C146" s="169" t="inlineStr">
        <is>
          <t>Ámbito geográfico</t>
        </is>
      </c>
      <c r="E146" s="44" t="n"/>
      <c r="F146" s="169" t="inlineStr">
        <is>
          <t>Clientes Potenciales</t>
        </is>
      </c>
      <c r="H146" s="1" t="n"/>
      <c r="I146" s="169" t="inlineStr">
        <is>
          <t>Tipo de Cliente</t>
        </is>
      </c>
      <c r="K146" s="1" t="n"/>
    </row>
    <row r="147" ht="12.75" customHeight="1" s="588">
      <c r="A147" s="1" t="n"/>
      <c r="B147" s="1" t="n"/>
      <c r="C147" s="1" t="n"/>
      <c r="D147" s="1" t="n"/>
      <c r="E147" s="1" t="n"/>
      <c r="F147" s="1" t="n"/>
      <c r="G147" s="1" t="n"/>
      <c r="H147" s="1" t="n"/>
      <c r="I147" s="1" t="n"/>
      <c r="J147" s="1" t="n"/>
      <c r="K147" s="1" t="n"/>
    </row>
    <row r="148" ht="12.75" customHeight="1" s="588">
      <c r="A148" s="1" t="n"/>
      <c r="B148" s="178" t="inlineStr">
        <is>
          <t>Segmento 1</t>
        </is>
      </c>
      <c r="C148" s="607" t="inlineStr">
        <is>
          <t>Local</t>
        </is>
      </c>
      <c r="D148" s="591" t="n"/>
      <c r="E148" s="1" t="n"/>
      <c r="F148" s="607" t="inlineStr">
        <is>
          <t>De 1.000 a 10.000</t>
        </is>
      </c>
      <c r="G148" s="591" t="n"/>
      <c r="H148" s="1" t="n"/>
      <c r="I148" s="607" t="inlineStr">
        <is>
          <t>De Proximidad</t>
        </is>
      </c>
      <c r="J148" s="591" t="n"/>
      <c r="K148" s="1" t="n"/>
    </row>
    <row r="149" ht="12.75" customHeight="1" s="588">
      <c r="A149" s="1" t="n"/>
      <c r="B149" s="178" t="n"/>
      <c r="C149" s="1" t="n"/>
      <c r="D149" s="1" t="n"/>
      <c r="E149" s="1" t="n"/>
      <c r="F149" s="1" t="n"/>
      <c r="G149" s="1" t="n"/>
      <c r="H149" s="1" t="n"/>
      <c r="I149" s="1" t="n"/>
      <c r="J149" s="1" t="n"/>
      <c r="K149" s="1" t="n"/>
    </row>
    <row r="150" ht="12.75" customHeight="1" s="588">
      <c r="A150" s="1" t="n"/>
      <c r="B150" s="178" t="inlineStr">
        <is>
          <t>Segmento 2</t>
        </is>
      </c>
      <c r="C150" s="607" t="inlineStr">
        <is>
          <t>Local</t>
        </is>
      </c>
      <c r="D150" s="591" t="n"/>
      <c r="E150" s="1" t="n"/>
      <c r="F150" s="607" t="inlineStr">
        <is>
          <t>De 1.000 a 10.000</t>
        </is>
      </c>
      <c r="G150" s="591" t="n"/>
      <c r="H150" s="1" t="n"/>
      <c r="I150" s="607" t="inlineStr">
        <is>
          <t>De Proximidad</t>
        </is>
      </c>
      <c r="J150" s="591" t="n"/>
      <c r="K150" s="1" t="n"/>
    </row>
    <row r="151" ht="12.75" customHeight="1" s="588">
      <c r="A151" s="1" t="n"/>
      <c r="B151" s="178" t="n"/>
      <c r="C151" s="1" t="n"/>
      <c r="D151" s="1" t="n"/>
      <c r="E151" s="1" t="n"/>
      <c r="F151" s="1" t="n"/>
      <c r="G151" s="1" t="n"/>
      <c r="H151" s="1" t="n"/>
      <c r="I151" s="1" t="n"/>
      <c r="J151" s="1" t="n"/>
      <c r="K151" s="1" t="n"/>
    </row>
    <row r="152" ht="12.75" customHeight="1" s="588">
      <c r="A152" s="1" t="n"/>
      <c r="B152" s="178" t="inlineStr">
        <is>
          <t>Segmento 3</t>
        </is>
      </c>
      <c r="C152" s="607" t="inlineStr">
        <is>
          <t>Local</t>
        </is>
      </c>
      <c r="D152" s="591" t="n"/>
      <c r="E152" s="1" t="n"/>
      <c r="F152" s="607" t="inlineStr">
        <is>
          <t>Menos de 1.000</t>
        </is>
      </c>
      <c r="G152" s="591" t="n"/>
      <c r="H152" s="1" t="n"/>
      <c r="I152" s="607" t="inlineStr">
        <is>
          <t>De Proximidad</t>
        </is>
      </c>
      <c r="J152" s="591" t="n"/>
      <c r="K152" s="1" t="n"/>
    </row>
    <row r="153" ht="12.75" customHeight="1" s="588">
      <c r="A153" s="1" t="n"/>
      <c r="B153" s="178" t="n"/>
      <c r="C153" s="1" t="n"/>
      <c r="D153" s="1" t="n"/>
      <c r="E153" s="1" t="n"/>
      <c r="F153" s="1" t="n"/>
      <c r="G153" s="1" t="n"/>
      <c r="H153" s="1" t="n"/>
      <c r="I153" s="1" t="n"/>
      <c r="J153" s="1" t="n"/>
      <c r="K153" s="1" t="n"/>
    </row>
    <row r="154" ht="12.75" customHeight="1" s="588">
      <c r="A154" s="1" t="n"/>
      <c r="B154" s="178" t="inlineStr">
        <is>
          <t>Segmento 4</t>
        </is>
      </c>
      <c r="C154" s="607" t="inlineStr">
        <is>
          <t>Local</t>
        </is>
      </c>
      <c r="D154" s="591" t="n"/>
      <c r="E154" s="1" t="n"/>
      <c r="F154" s="607" t="inlineStr">
        <is>
          <t>Menos de 1.000</t>
        </is>
      </c>
      <c r="G154" s="591" t="n"/>
      <c r="H154" s="1" t="n"/>
      <c r="I154" s="607" t="inlineStr">
        <is>
          <t>De Proximidad</t>
        </is>
      </c>
      <c r="J154" s="591" t="n"/>
      <c r="K154" s="1" t="n"/>
    </row>
    <row r="155" ht="12.75" customHeight="1" s="588">
      <c r="A155" s="1" t="n"/>
      <c r="B155" s="178" t="n"/>
      <c r="C155" s="1" t="n"/>
      <c r="D155" s="1" t="n"/>
      <c r="E155" s="1" t="n"/>
      <c r="F155" s="1" t="n"/>
      <c r="G155" s="1" t="n"/>
      <c r="H155" s="1" t="n"/>
      <c r="I155" s="1" t="n"/>
      <c r="J155" s="1" t="n"/>
      <c r="K155" s="1" t="n"/>
    </row>
    <row r="156" ht="12.75" customHeight="1" s="588">
      <c r="A156" s="1" t="n"/>
      <c r="B156" s="178" t="inlineStr">
        <is>
          <t>Segmento 5</t>
        </is>
      </c>
      <c r="C156" s="607" t="inlineStr">
        <is>
          <t>Regional</t>
        </is>
      </c>
      <c r="D156" s="591" t="n"/>
      <c r="E156" s="1" t="n"/>
      <c r="F156" s="607" t="inlineStr">
        <is>
          <t>Menos de 1.000</t>
        </is>
      </c>
      <c r="G156" s="591" t="n"/>
      <c r="H156" s="1" t="n"/>
      <c r="I156" s="607" t="inlineStr">
        <is>
          <t>Disperso</t>
        </is>
      </c>
      <c r="J156" s="591" t="n"/>
      <c r="K156" s="1" t="n"/>
    </row>
    <row r="157" ht="12.75" customHeight="1" s="588">
      <c r="A157" s="1" t="n"/>
      <c r="B157" s="1" t="n"/>
      <c r="C157" s="1" t="n"/>
      <c r="D157" s="1" t="n"/>
      <c r="E157" s="1" t="n"/>
      <c r="F157" s="1" t="n"/>
      <c r="G157" s="1" t="n"/>
      <c r="H157" s="1" t="n"/>
      <c r="I157" s="1" t="n"/>
      <c r="J157" s="1" t="n"/>
      <c r="K157" s="1" t="n"/>
    </row>
    <row r="158" ht="12.75" customHeight="1" s="588">
      <c r="A158" s="1" t="n"/>
      <c r="B158" s="182" t="inlineStr">
        <is>
          <t>Segmentos Alternativos</t>
        </is>
      </c>
      <c r="C158" s="607" t="n"/>
      <c r="D158" s="591" t="n"/>
      <c r="E158" s="1" t="n"/>
      <c r="F158" s="607" t="n"/>
      <c r="G158" s="591" t="n"/>
      <c r="H158" s="1" t="n"/>
      <c r="I158" s="607" t="n"/>
      <c r="J158" s="591" t="n"/>
      <c r="K158" s="1" t="n"/>
    </row>
    <row r="159" ht="12.75" customHeight="1" s="588">
      <c r="A159" s="1" t="n"/>
      <c r="B159" s="183" t="n"/>
      <c r="C159" s="1" t="n"/>
      <c r="D159" s="1" t="n"/>
      <c r="E159" s="1" t="n"/>
      <c r="F159" s="1" t="n"/>
      <c r="G159" s="1" t="n"/>
      <c r="H159" s="1" t="n"/>
      <c r="I159" s="1" t="n"/>
      <c r="J159" s="1" t="n"/>
      <c r="K159" s="1" t="n"/>
    </row>
    <row r="160" hidden="1" ht="12.75" customHeight="1" s="588">
      <c r="A160" s="1" t="n"/>
      <c r="B160" s="183" t="n"/>
      <c r="C160" s="178" t="inlineStr">
        <is>
          <t>Regional</t>
        </is>
      </c>
      <c r="D160" s="1" t="n"/>
      <c r="E160" s="1" t="n"/>
      <c r="F160" s="178" t="inlineStr">
        <is>
          <t>Menos de 1.000</t>
        </is>
      </c>
      <c r="G160" s="1" t="n"/>
      <c r="H160" s="1" t="n"/>
      <c r="I160" s="178" t="inlineStr">
        <is>
          <t>Disperso</t>
        </is>
      </c>
      <c r="J160" s="1" t="n"/>
      <c r="K160" s="1" t="n"/>
    </row>
    <row r="161" hidden="1" ht="12.75" customHeight="1" s="588">
      <c r="A161" s="1" t="n"/>
      <c r="B161" s="178" t="n"/>
      <c r="C161" s="178" t="inlineStr">
        <is>
          <t>Regional</t>
        </is>
      </c>
      <c r="D161" s="1" t="n"/>
      <c r="E161" s="1" t="n"/>
      <c r="F161" s="178" t="inlineStr">
        <is>
          <t>De 1.000 a 10.000</t>
        </is>
      </c>
      <c r="G161" s="1" t="n"/>
      <c r="H161" s="1" t="n"/>
      <c r="I161" s="178" t="inlineStr">
        <is>
          <t>Transeunte</t>
        </is>
      </c>
      <c r="J161" s="1" t="n"/>
      <c r="K161" s="1" t="n"/>
    </row>
    <row r="162" hidden="1" ht="12.75" customHeight="1" s="588">
      <c r="A162" s="1" t="n"/>
      <c r="B162" s="178" t="n"/>
      <c r="C162" s="178" t="inlineStr">
        <is>
          <t>Nacional</t>
        </is>
      </c>
      <c r="D162" s="1" t="n"/>
      <c r="E162" s="1" t="n"/>
      <c r="F162" s="178" t="inlineStr">
        <is>
          <t>De 10.000 a 100.000</t>
        </is>
      </c>
      <c r="G162" s="1" t="n"/>
      <c r="H162" s="1" t="n"/>
      <c r="I162" s="178" t="inlineStr">
        <is>
          <t>Disperso</t>
        </is>
      </c>
      <c r="J162" s="1" t="n"/>
      <c r="K162" s="1" t="n"/>
    </row>
    <row r="163" hidden="1" ht="12.75" customHeight="1" s="588">
      <c r="A163" s="1" t="n"/>
      <c r="B163" s="1" t="n"/>
      <c r="C163" s="178" t="inlineStr">
        <is>
          <t>Internacional</t>
        </is>
      </c>
      <c r="D163" s="1" t="n"/>
      <c r="E163" s="1" t="n"/>
      <c r="F163" s="178" t="inlineStr">
        <is>
          <t>Más de 100.000</t>
        </is>
      </c>
      <c r="G163" s="1" t="n"/>
      <c r="H163" s="1" t="n"/>
      <c r="I163" s="178" t="inlineStr">
        <is>
          <t>Virtual</t>
        </is>
      </c>
      <c r="J163" s="1" t="n"/>
      <c r="K163" s="1" t="n"/>
    </row>
    <row r="164" hidden="1" ht="12.75" customHeight="1" s="588">
      <c r="A164" s="1" t="n"/>
      <c r="B164" s="1" t="n"/>
      <c r="C164" s="178" t="n"/>
      <c r="D164" s="1" t="n"/>
      <c r="E164" s="1" t="n"/>
      <c r="F164" s="178" t="inlineStr">
        <is>
          <t>Varios Millones</t>
        </is>
      </c>
      <c r="G164" s="1" t="n"/>
      <c r="H164" s="1" t="n"/>
      <c r="I164" s="178" t="n"/>
      <c r="J164" s="1" t="n"/>
      <c r="K164" s="1" t="n"/>
    </row>
    <row r="165" ht="12.75" customHeight="1" s="588">
      <c r="A165" s="1" t="n"/>
      <c r="B165" s="1" t="n"/>
      <c r="C165" s="178" t="n"/>
      <c r="D165" s="1" t="n"/>
      <c r="E165" s="1" t="n"/>
      <c r="F165" s="178" t="n"/>
      <c r="G165" s="1" t="n"/>
      <c r="H165" s="1" t="n"/>
      <c r="I165" s="1" t="n"/>
      <c r="J165" s="1" t="n"/>
      <c r="K165" s="1" t="n"/>
    </row>
    <row r="166" ht="12.75" customHeight="1" s="588">
      <c r="A166" s="1" t="n"/>
      <c r="B166" s="1" t="n"/>
      <c r="C166" s="1" t="n"/>
      <c r="D166" s="1" t="n"/>
      <c r="E166" s="1" t="n"/>
      <c r="F166" s="1" t="n"/>
      <c r="G166" s="1" t="n"/>
      <c r="H166" s="1" t="n"/>
      <c r="I166" s="1" t="n"/>
      <c r="J166" s="1" t="n"/>
      <c r="K166" s="1" t="n"/>
    </row>
    <row r="167" ht="12.75" customHeight="1" s="588">
      <c r="A167" s="1" t="n"/>
      <c r="B167" s="1" t="n"/>
      <c r="C167" s="1" t="n"/>
      <c r="D167" s="1" t="n"/>
      <c r="E167" s="1" t="n"/>
      <c r="F167" s="1" t="n"/>
      <c r="G167" s="1" t="n"/>
      <c r="H167" s="1" t="n"/>
      <c r="I167" s="1" t="n"/>
      <c r="J167" s="1" t="n"/>
      <c r="K167" s="1" t="n"/>
    </row>
    <row r="168" ht="12.75" customHeight="1" s="588">
      <c r="A168" s="1" t="n"/>
      <c r="B168" s="1" t="n"/>
      <c r="C168" s="1" t="n"/>
      <c r="D168" s="1" t="n"/>
      <c r="E168" s="1" t="n"/>
      <c r="F168" s="1" t="n"/>
      <c r="G168" s="1" t="n"/>
      <c r="H168" s="1" t="n"/>
      <c r="I168" s="1" t="n"/>
      <c r="J168" s="1" t="n"/>
      <c r="K168" s="1" t="n"/>
    </row>
    <row r="169" ht="12.75" customHeight="1" s="588">
      <c r="A169" s="1" t="n"/>
      <c r="B169" s="1" t="n"/>
      <c r="C169" s="1" t="n"/>
      <c r="D169" s="1" t="n"/>
      <c r="E169" s="1" t="n"/>
      <c r="F169" s="1" t="n"/>
      <c r="G169" s="1" t="n"/>
      <c r="H169" s="1" t="n"/>
      <c r="I169" s="1" t="n"/>
      <c r="J169" s="1" t="n"/>
      <c r="K169" s="1" t="n"/>
    </row>
    <row r="170" ht="12.75" customHeight="1" s="588">
      <c r="A170" s="1" t="n"/>
      <c r="B170" s="1" t="n"/>
      <c r="C170" s="1" t="n"/>
      <c r="D170" s="1" t="n"/>
      <c r="E170" s="1" t="n"/>
      <c r="F170" s="1" t="n"/>
      <c r="G170" s="1" t="n"/>
      <c r="H170" s="1" t="n"/>
      <c r="I170" s="1" t="n"/>
      <c r="J170" s="1" t="n"/>
      <c r="K170" s="1" t="n"/>
    </row>
    <row r="171" ht="12.75" customHeight="1" s="588">
      <c r="A171" s="1" t="n"/>
      <c r="B171" s="1" t="n"/>
      <c r="C171" s="1" t="n"/>
      <c r="D171" s="1" t="n"/>
      <c r="E171" s="1" t="n"/>
      <c r="F171" s="1" t="n"/>
      <c r="G171" s="1" t="n"/>
      <c r="H171" s="1" t="n"/>
      <c r="I171" s="1" t="n"/>
      <c r="J171" s="1" t="n"/>
      <c r="K171" s="1" t="n"/>
    </row>
    <row r="172" ht="12.75" customHeight="1" s="588">
      <c r="A172" s="1" t="n"/>
      <c r="B172" s="1" t="n"/>
      <c r="C172" s="1" t="n"/>
      <c r="D172" s="1" t="n"/>
      <c r="E172" s="1" t="n"/>
      <c r="F172" s="1" t="n"/>
      <c r="G172" s="1" t="n"/>
      <c r="H172" s="1" t="n"/>
      <c r="I172" s="1" t="n"/>
      <c r="J172" s="1" t="n"/>
      <c r="K172" s="1" t="n"/>
    </row>
    <row r="173" ht="12.75" customHeight="1" s="588">
      <c r="A173" s="1" t="n"/>
      <c r="B173" s="1" t="n"/>
      <c r="C173" s="1" t="n"/>
      <c r="D173" s="1" t="n"/>
      <c r="E173" s="1" t="n"/>
      <c r="F173" s="1" t="n"/>
      <c r="G173" s="1" t="n"/>
      <c r="H173" s="1" t="n"/>
      <c r="I173" s="1" t="n"/>
      <c r="J173" s="1" t="n"/>
      <c r="K173" s="1" t="n"/>
    </row>
    <row r="174" ht="12.75" customHeight="1" s="588">
      <c r="A174" s="1" t="n"/>
      <c r="B174" s="1" t="n"/>
      <c r="C174" s="1" t="n"/>
      <c r="D174" s="1" t="n"/>
      <c r="E174" s="1" t="n"/>
      <c r="F174" s="1" t="n"/>
      <c r="G174" s="1" t="n"/>
      <c r="H174" s="1" t="n"/>
      <c r="I174" s="1" t="n"/>
      <c r="J174" s="1" t="n"/>
      <c r="K174" s="1" t="n"/>
    </row>
    <row r="175" ht="12.75" customHeight="1" s="588">
      <c r="A175" s="16" t="n"/>
      <c r="B175" s="16" t="n"/>
      <c r="C175" s="16" t="n"/>
      <c r="D175" s="16" t="n"/>
      <c r="E175" s="16" t="n"/>
      <c r="F175" s="16" t="n"/>
      <c r="G175" s="16" t="n"/>
      <c r="H175" s="16" t="n"/>
      <c r="I175" s="16" t="n"/>
      <c r="J175" s="16" t="n"/>
      <c r="K175" s="16" t="n"/>
    </row>
    <row r="176" ht="12.75" customHeight="1" s="588">
      <c r="A176" s="16" t="n"/>
      <c r="B176" s="16" t="n"/>
      <c r="C176" s="16" t="n"/>
      <c r="D176" s="16" t="n"/>
      <c r="E176" s="16" t="n"/>
      <c r="F176" s="16" t="n"/>
      <c r="G176" s="16" t="n"/>
      <c r="H176" s="16" t="n"/>
      <c r="I176" s="16" t="n"/>
      <c r="J176" s="16" t="n"/>
      <c r="K176" s="16" t="n"/>
    </row>
    <row r="177" ht="12.75" customHeight="1" s="588">
      <c r="A177" s="16" t="n"/>
      <c r="B177" s="16" t="n"/>
      <c r="C177" s="16" t="n"/>
      <c r="D177" s="16" t="n"/>
      <c r="E177" s="16" t="n"/>
      <c r="F177" s="16" t="n"/>
      <c r="G177" s="16" t="n"/>
      <c r="H177" s="16" t="n"/>
      <c r="I177" s="16" t="n"/>
      <c r="J177" s="16" t="n"/>
      <c r="K177" s="16" t="n"/>
    </row>
    <row r="178" ht="12.75" customHeight="1" s="588">
      <c r="A178" s="8" t="inlineStr">
        <is>
          <t>¿PARA QUIÉN?</t>
        </is>
      </c>
      <c r="B178" s="1" t="n"/>
      <c r="C178" s="1" t="n"/>
      <c r="D178" s="1" t="n"/>
      <c r="E178" s="1" t="n"/>
      <c r="F178" s="1" t="n"/>
      <c r="G178" s="1" t="n"/>
      <c r="H178" s="1" t="n"/>
      <c r="I178" s="1" t="n"/>
      <c r="J178" s="1" t="n"/>
      <c r="K178" s="1" t="n"/>
    </row>
    <row r="179" ht="12.75" customHeight="1" s="588">
      <c r="A179" s="8" t="n"/>
      <c r="B179" s="1" t="n"/>
      <c r="C179" s="1" t="n"/>
      <c r="D179" s="1" t="n"/>
      <c r="E179" s="1" t="n"/>
      <c r="F179" s="1" t="n"/>
      <c r="G179" s="1" t="n"/>
      <c r="H179" s="1" t="n"/>
      <c r="I179" s="1" t="n"/>
      <c r="J179" s="1" t="n"/>
      <c r="K179" s="1" t="n"/>
      <c r="L179" s="16" t="n"/>
      <c r="M179" s="16" t="n"/>
      <c r="N179" s="16" t="n"/>
      <c r="O179" s="16" t="n"/>
      <c r="P179" s="16" t="n"/>
      <c r="Q179" s="16" t="n"/>
      <c r="R179" s="16" t="n"/>
      <c r="S179" s="16" t="n"/>
      <c r="T179" s="16" t="n"/>
      <c r="U179" s="16" t="n"/>
      <c r="V179" s="16" t="n"/>
      <c r="W179" s="16" t="n"/>
      <c r="X179" s="16" t="n"/>
      <c r="Y179" s="16" t="n"/>
      <c r="Z179" s="16" t="n"/>
    </row>
    <row r="180" ht="12.75" customHeight="1" s="588">
      <c r="A180" s="1" t="n"/>
      <c r="B180" s="1" t="n"/>
      <c r="C180" s="1" t="n"/>
      <c r="D180" s="1" t="n"/>
      <c r="E180" s="1" t="n"/>
      <c r="F180" s="1" t="n"/>
      <c r="G180" s="1" t="n"/>
      <c r="H180" s="1" t="n"/>
      <c r="I180" s="1" t="n"/>
      <c r="J180" s="1" t="n"/>
      <c r="K180" s="1" t="n"/>
    </row>
    <row r="181" ht="12.75" customHeight="1" s="588">
      <c r="A181" s="1" t="n"/>
      <c r="B181" s="1" t="n"/>
      <c r="C181" s="1" t="n"/>
      <c r="D181" s="1" t="n"/>
      <c r="E181" s="1" t="n"/>
      <c r="F181" s="62" t="inlineStr">
        <is>
          <t>RESUMEN</t>
        </is>
      </c>
      <c r="G181" s="1" t="n"/>
      <c r="H181" s="1" t="n"/>
      <c r="I181" s="1" t="n"/>
      <c r="J181" s="1" t="n"/>
      <c r="K181" s="1" t="n"/>
    </row>
    <row r="182" ht="12.75" customHeight="1" s="588">
      <c r="A182" s="1" t="n"/>
      <c r="B182" s="1" t="n"/>
      <c r="C182" s="1" t="n"/>
      <c r="D182" s="1" t="n"/>
      <c r="E182" s="1" t="n"/>
      <c r="F182" s="1" t="n"/>
      <c r="G182" s="1" t="n"/>
      <c r="H182" s="1" t="n"/>
      <c r="I182" s="1" t="n"/>
      <c r="J182" s="1" t="n"/>
      <c r="K182" s="1" t="n"/>
    </row>
    <row r="183" ht="12.75" customHeight="1" s="588">
      <c r="A183" s="1" t="n"/>
      <c r="B183" s="1" t="n"/>
      <c r="C183" s="1" t="n"/>
      <c r="D183" s="1" t="n"/>
      <c r="E183" s="1" t="n"/>
      <c r="F183" s="1" t="n"/>
      <c r="G183" s="1" t="n"/>
      <c r="H183" s="1" t="n"/>
      <c r="I183" s="1" t="n"/>
      <c r="J183" s="1" t="n"/>
      <c r="K183" s="1" t="n"/>
    </row>
    <row r="184" ht="12.75" customHeight="1" s="588">
      <c r="A184" s="1" t="n"/>
      <c r="B184" s="1" t="n"/>
      <c r="C184" s="1" t="n"/>
      <c r="D184" s="1" t="n"/>
      <c r="E184" s="1" t="n"/>
      <c r="F184" s="1" t="n"/>
      <c r="G184" s="1" t="n"/>
      <c r="H184" s="1" t="n"/>
      <c r="I184" s="1" t="n"/>
      <c r="J184" s="1" t="n"/>
      <c r="K184" s="1" t="n"/>
    </row>
    <row r="185" ht="12.75" customHeight="1" s="588">
      <c r="A185" s="1" t="n"/>
      <c r="B185" s="1" t="n"/>
      <c r="C185" s="1" t="n"/>
      <c r="D185" s="1" t="n"/>
      <c r="E185" s="1" t="n"/>
      <c r="F185" s="1" t="n"/>
      <c r="G185" s="1" t="n"/>
      <c r="H185" s="1" t="n"/>
      <c r="I185" s="1" t="n"/>
      <c r="J185" s="1" t="n"/>
      <c r="K185" s="1" t="n"/>
    </row>
    <row r="186" ht="12.75" customHeight="1" s="588">
      <c r="A186" s="1" t="n"/>
      <c r="B186" s="1" t="n"/>
      <c r="C186" s="1" t="n"/>
      <c r="D186" s="1" t="n"/>
      <c r="E186" s="1" t="n"/>
      <c r="F186" s="1" t="n"/>
      <c r="G186" s="1" t="n"/>
      <c r="H186" s="1" t="n"/>
      <c r="I186" s="1" t="n"/>
      <c r="J186" s="1" t="n"/>
      <c r="K186" s="1" t="n"/>
    </row>
    <row r="187" ht="12.75" customHeight="1" s="588">
      <c r="A187" s="1" t="n"/>
      <c r="B187" s="1" t="n"/>
      <c r="C187" s="1" t="n"/>
      <c r="D187" s="1" t="n"/>
      <c r="E187" s="1" t="n"/>
      <c r="F187" s="1" t="n"/>
      <c r="G187" s="1" t="n"/>
      <c r="H187" s="1" t="n"/>
      <c r="I187" s="1" t="n"/>
      <c r="J187" s="1" t="n"/>
      <c r="K187" s="1" t="n"/>
    </row>
    <row r="188" ht="12.75" customHeight="1" s="588">
      <c r="A188" s="1" t="n"/>
      <c r="B188" s="1" t="n"/>
      <c r="C188" s="1" t="n"/>
      <c r="D188" s="1" t="n"/>
      <c r="E188" s="1" t="n"/>
      <c r="F188" s="1" t="n"/>
      <c r="G188" s="1" t="n"/>
      <c r="H188" s="1" t="n"/>
      <c r="I188" s="1" t="n"/>
      <c r="J188" s="1" t="n"/>
      <c r="K188" s="1" t="n"/>
    </row>
    <row r="189" ht="12.75" customHeight="1" s="588">
      <c r="A189" s="1" t="n"/>
      <c r="B189" s="1" t="n"/>
      <c r="C189" s="666" t="inlineStr">
        <is>
          <t>Pymes, autónomos y bodegas del Bierzo</t>
        </is>
      </c>
      <c r="D189" s="610" t="n"/>
      <c r="E189" s="610" t="n"/>
      <c r="F189" s="610" t="n"/>
      <c r="G189" s="610" t="n"/>
      <c r="H189" s="610" t="n"/>
      <c r="I189" s="610" t="n"/>
      <c r="J189" s="611" t="n"/>
      <c r="K189" s="1" t="n"/>
    </row>
    <row r="190" ht="12.75" customHeight="1" s="588">
      <c r="A190" s="1" t="n"/>
      <c r="B190" s="1" t="n"/>
      <c r="C190" s="612" t="n"/>
      <c r="J190" s="613" t="n"/>
      <c r="K190" s="1" t="n"/>
    </row>
    <row r="191" ht="12.75" customHeight="1" s="588">
      <c r="A191" s="1" t="n"/>
      <c r="B191" s="1" t="n"/>
      <c r="C191" s="612" t="n"/>
      <c r="J191" s="613" t="n"/>
      <c r="K191" s="1" t="n"/>
    </row>
    <row r="192" ht="12.75" customHeight="1" s="588">
      <c r="A192" s="1" t="n"/>
      <c r="B192" s="1" t="n"/>
      <c r="C192" s="612" t="n"/>
      <c r="J192" s="613" t="n"/>
      <c r="K192" s="1" t="n"/>
    </row>
    <row r="193" ht="12.75" customHeight="1" s="588">
      <c r="A193" s="1" t="n"/>
      <c r="B193" s="1" t="n"/>
      <c r="C193" s="612" t="n"/>
      <c r="J193" s="613" t="n"/>
      <c r="K193" s="1" t="n"/>
    </row>
    <row r="194" ht="13.5" customHeight="1" s="588">
      <c r="A194" s="1" t="n"/>
      <c r="B194" s="1" t="n"/>
      <c r="C194" s="614" t="n"/>
      <c r="D194" s="615" t="n"/>
      <c r="E194" s="615" t="n"/>
      <c r="F194" s="615" t="n"/>
      <c r="G194" s="615" t="n"/>
      <c r="H194" s="615" t="n"/>
      <c r="I194" s="615" t="n"/>
      <c r="J194" s="616" t="n"/>
      <c r="K194" s="1" t="n"/>
    </row>
    <row r="195" ht="12.75" customHeight="1" s="588">
      <c r="A195" s="1" t="n"/>
      <c r="B195" s="1" t="n"/>
      <c r="C195" s="1" t="n"/>
      <c r="D195" s="1" t="n"/>
      <c r="E195" s="1" t="n"/>
      <c r="F195" s="1" t="n"/>
      <c r="G195" s="1" t="n"/>
      <c r="H195" s="1" t="n"/>
      <c r="I195" s="1" t="n"/>
      <c r="J195" s="1" t="n"/>
      <c r="K195" s="1" t="n"/>
    </row>
    <row r="196" ht="12.75" customHeight="1" s="588">
      <c r="A196" s="1" t="n"/>
      <c r="B196" s="1" t="n"/>
      <c r="C196" s="1" t="n"/>
      <c r="D196" s="1" t="n"/>
      <c r="E196" s="1" t="n"/>
      <c r="F196" s="1" t="n"/>
      <c r="G196" s="1" t="n"/>
      <c r="H196" s="1" t="n"/>
      <c r="I196" s="1" t="n"/>
      <c r="J196" s="1" t="n"/>
      <c r="K196" s="1" t="n"/>
    </row>
    <row r="197" ht="12.75" customHeight="1" s="588">
      <c r="A197" s="1" t="n"/>
      <c r="B197" s="1" t="n"/>
      <c r="C197" s="1" t="n"/>
      <c r="D197" s="1" t="n"/>
      <c r="E197" s="1" t="n"/>
      <c r="F197" s="1" t="n"/>
      <c r="G197" s="1" t="n"/>
      <c r="H197" s="1" t="n"/>
      <c r="I197" s="1" t="n"/>
      <c r="J197" s="1" t="n"/>
      <c r="K197" s="1" t="n"/>
    </row>
    <row r="198" ht="12.75" customHeight="1" s="588">
      <c r="A198" s="1" t="n"/>
      <c r="B198" s="1" t="n"/>
      <c r="C198" s="1" t="n"/>
      <c r="D198" s="1" t="n"/>
      <c r="E198" s="1" t="n"/>
      <c r="F198" s="1" t="n"/>
      <c r="G198" s="1" t="n"/>
      <c r="H198" s="1" t="n"/>
      <c r="I198" s="1" t="n"/>
      <c r="J198" s="1" t="n"/>
      <c r="K198" s="1" t="n"/>
    </row>
    <row r="199" ht="12.75" customHeight="1" s="588">
      <c r="A199" s="1" t="n"/>
      <c r="B199" s="1" t="n"/>
      <c r="C199" s="1" t="n"/>
      <c r="D199" s="1" t="n"/>
      <c r="E199" s="1" t="n"/>
      <c r="F199" s="1" t="n"/>
      <c r="G199" s="1" t="n"/>
      <c r="H199" s="1" t="n"/>
      <c r="I199" s="1" t="n"/>
      <c r="J199" s="1" t="n"/>
      <c r="K199" s="1" t="n"/>
    </row>
    <row r="200" ht="12.75" customHeight="1" s="588">
      <c r="A200" s="1" t="n"/>
      <c r="B200" s="1" t="n"/>
      <c r="C200" s="1" t="n"/>
      <c r="D200" s="1" t="n"/>
      <c r="E200" s="1" t="n"/>
      <c r="F200" s="1" t="n"/>
      <c r="G200" s="1" t="n"/>
      <c r="H200" s="1" t="n"/>
      <c r="I200" s="1" t="n"/>
      <c r="J200" s="1" t="n"/>
      <c r="K200" s="1" t="n"/>
    </row>
    <row r="201" ht="12.75" customHeight="1" s="588">
      <c r="A201" s="1" t="n"/>
      <c r="B201" s="1" t="n"/>
      <c r="C201" s="1" t="n"/>
      <c r="D201" s="1" t="n"/>
      <c r="E201" s="1" t="n"/>
      <c r="F201" s="1" t="n"/>
      <c r="G201" s="1" t="n"/>
      <c r="H201" s="1" t="n"/>
      <c r="I201" s="1" t="n"/>
      <c r="J201" s="1" t="n"/>
      <c r="K201" s="1" t="n"/>
    </row>
    <row r="202" ht="12.75" customHeight="1" s="588">
      <c r="A202" s="1" t="n"/>
      <c r="B202" s="1" t="n"/>
      <c r="C202" s="1" t="n"/>
      <c r="D202" s="1" t="n"/>
      <c r="E202" s="1" t="n"/>
      <c r="F202" s="1" t="n"/>
      <c r="G202" s="1" t="n"/>
      <c r="H202" s="1" t="n"/>
      <c r="I202" s="1" t="n"/>
      <c r="J202" s="1" t="n"/>
      <c r="K202" s="1" t="n"/>
    </row>
    <row r="203" ht="12.75" customHeight="1" s="588">
      <c r="A203" s="1" t="n"/>
      <c r="B203" s="1" t="n"/>
      <c r="C203" s="1" t="n"/>
      <c r="D203" s="1" t="n"/>
      <c r="E203" s="1" t="n"/>
      <c r="F203" s="1" t="n"/>
      <c r="G203" s="1" t="n"/>
      <c r="H203" s="1" t="n"/>
      <c r="I203" s="1" t="n"/>
      <c r="J203" s="1" t="n"/>
      <c r="K203" s="1" t="n"/>
    </row>
    <row r="204" ht="12.75" customHeight="1" s="588">
      <c r="A204" s="1" t="n"/>
      <c r="B204" s="1" t="n"/>
      <c r="C204" s="1" t="n"/>
      <c r="D204" s="1" t="n"/>
      <c r="E204" s="1" t="n"/>
      <c r="F204" s="1" t="n"/>
      <c r="G204" s="1" t="n"/>
      <c r="H204" s="1" t="n"/>
      <c r="I204" s="1" t="n"/>
      <c r="J204" s="1" t="n"/>
      <c r="K204" s="1" t="n"/>
    </row>
    <row r="205" ht="12.75" customHeight="1" s="588">
      <c r="A205" s="1" t="n"/>
      <c r="B205" s="1" t="n"/>
      <c r="C205" s="1" t="n"/>
      <c r="D205" s="1" t="n"/>
      <c r="E205" s="1" t="n"/>
      <c r="F205" s="1" t="n"/>
      <c r="G205" s="1" t="n"/>
      <c r="H205" s="1" t="n"/>
      <c r="I205" s="1" t="n"/>
      <c r="J205" s="1" t="n"/>
      <c r="K205" s="1" t="n"/>
    </row>
    <row r="206" ht="12.75" customHeight="1" s="588">
      <c r="A206" s="1" t="n"/>
      <c r="B206" s="1" t="n"/>
      <c r="C206" s="1" t="n"/>
      <c r="D206" s="1" t="n"/>
      <c r="E206" s="1" t="n"/>
      <c r="F206" s="1" t="n"/>
      <c r="G206" s="1" t="n"/>
      <c r="H206" s="1" t="n"/>
      <c r="I206" s="1" t="n"/>
      <c r="J206" s="1" t="n"/>
      <c r="K206" s="1" t="n"/>
    </row>
    <row r="207" ht="12.75" customHeight="1" s="588">
      <c r="A207" s="1" t="n"/>
      <c r="B207" s="1" t="n"/>
      <c r="C207" s="1" t="n"/>
      <c r="D207" s="1" t="n"/>
      <c r="E207" s="1" t="n"/>
      <c r="F207" s="1" t="n"/>
      <c r="G207" s="1" t="n"/>
      <c r="H207" s="1" t="n"/>
      <c r="I207" s="1" t="n"/>
      <c r="J207" s="1" t="n"/>
      <c r="K207" s="1" t="n"/>
    </row>
    <row r="208" ht="12.75" customHeight="1" s="588">
      <c r="A208" s="1" t="n"/>
      <c r="B208" s="1" t="n"/>
      <c r="C208" s="1" t="n"/>
      <c r="D208" s="1" t="n"/>
      <c r="E208" s="1" t="n"/>
      <c r="F208" s="1" t="n"/>
      <c r="G208" s="1" t="n"/>
      <c r="H208" s="1" t="n"/>
      <c r="I208" s="1" t="n"/>
      <c r="J208" s="1" t="n"/>
      <c r="K208" s="1" t="n"/>
    </row>
    <row r="209" ht="12.75" customHeight="1" s="588">
      <c r="A209" s="16" t="n"/>
      <c r="B209" s="16" t="n"/>
      <c r="C209" s="16" t="n"/>
      <c r="D209" s="16" t="n"/>
      <c r="E209" s="16" t="n"/>
      <c r="F209" s="16" t="n"/>
      <c r="G209" s="16" t="n"/>
      <c r="H209" s="16" t="n"/>
      <c r="I209" s="16" t="n"/>
      <c r="J209" s="16" t="n"/>
      <c r="K209" s="16" t="n"/>
    </row>
    <row r="210" ht="12.75" customHeight="1" s="588"/>
    <row r="211" ht="12.75" customHeight="1" s="588"/>
    <row r="212" ht="12.75" customHeight="1" s="588"/>
    <row r="213" ht="12.75" customHeight="1" s="588"/>
    <row r="214" ht="12.75" customHeight="1" s="588"/>
    <row r="215" ht="12.75" customHeight="1" s="588"/>
    <row r="216" ht="12.75" customHeight="1" s="588"/>
    <row r="217" ht="12.75" customHeight="1" s="588"/>
    <row r="218" ht="12.75" customHeight="1" s="588"/>
    <row r="219" ht="12.75" customHeight="1" s="588"/>
    <row r="220" ht="12.75" customHeight="1" s="588"/>
    <row r="221" ht="12.75" customHeight="1" s="588"/>
    <row r="222" ht="12.75" customHeight="1" s="588"/>
    <row r="223" ht="12.75" customHeight="1" s="588"/>
    <row r="224" ht="12.75" customHeight="1" s="588"/>
    <row r="225" ht="12.75" customHeight="1" s="588"/>
    <row r="226" ht="12.75" customHeight="1" s="588"/>
    <row r="227" ht="12.75" customHeight="1" s="588"/>
    <row r="228" ht="12.75" customHeight="1" s="588"/>
    <row r="229" ht="12.75" customHeight="1" s="588"/>
    <row r="230" ht="12.75" customHeight="1" s="588"/>
    <row r="231" ht="12.75" customHeight="1" s="588"/>
    <row r="232" ht="12.75" customHeight="1" s="588"/>
    <row r="233" ht="12.75" customHeight="1" s="588"/>
    <row r="234" ht="12.75" customHeight="1" s="588"/>
    <row r="235" ht="12.75" customHeight="1" s="588"/>
    <row r="236" ht="12.75" customHeight="1" s="588"/>
    <row r="237" ht="12.75" customHeight="1" s="588"/>
    <row r="238" ht="12.75" customHeight="1" s="588"/>
    <row r="239" ht="12.75" customHeight="1" s="588"/>
    <row r="240" ht="12.75" customHeight="1" s="588"/>
    <row r="241" ht="12.75" customHeight="1" s="588"/>
    <row r="242" ht="12.75" customHeight="1" s="588"/>
    <row r="243" ht="12.75" customHeight="1" s="588"/>
    <row r="244" ht="12.75" customHeight="1" s="588"/>
    <row r="245" ht="12.75" customHeight="1" s="588"/>
    <row r="246" ht="12.75" customHeight="1" s="588"/>
    <row r="247" ht="12.75" customHeight="1" s="588"/>
    <row r="248" ht="12.75" customHeight="1" s="588"/>
    <row r="249" ht="12.75" customHeight="1" s="588"/>
    <row r="250" ht="12.75" customHeight="1" s="588"/>
    <row r="251" ht="12.75" customHeight="1" s="588"/>
    <row r="252" ht="12.75" customHeight="1" s="588"/>
    <row r="253" ht="12.75" customHeight="1" s="588"/>
    <row r="254" ht="12.75" customHeight="1" s="588"/>
    <row r="255" ht="12.75" customHeight="1" s="588"/>
    <row r="256" ht="12.75" customHeight="1" s="588"/>
    <row r="257" ht="12.75" customHeight="1" s="588"/>
    <row r="258" ht="12.75" customHeight="1" s="588"/>
    <row r="259" ht="12.75" customHeight="1" s="588"/>
    <row r="260" ht="12.75" customHeight="1" s="588"/>
    <row r="261" ht="12.75" customHeight="1" s="588"/>
    <row r="262" ht="12.75" customHeight="1" s="588"/>
    <row r="263" ht="12.75" customHeight="1" s="588"/>
    <row r="264" ht="12.75" customHeight="1" s="588"/>
    <row r="265" ht="12.75" customHeight="1" s="588"/>
    <row r="266" ht="12.75" customHeight="1" s="588"/>
    <row r="267" ht="12.75" customHeight="1" s="588"/>
    <row r="268" ht="12.75" customHeight="1" s="588"/>
    <row r="269" ht="12.75" customHeight="1" s="588"/>
    <row r="270" ht="12.75" customHeight="1" s="588"/>
    <row r="271" ht="12.75" customHeight="1" s="588"/>
    <row r="272" ht="12.75" customHeight="1" s="588"/>
    <row r="273" ht="12.75" customHeight="1" s="588"/>
    <row r="274" ht="12.75" customHeight="1" s="588"/>
    <row r="275" ht="12.75" customHeight="1" s="588"/>
    <row r="276" ht="12.75" customHeight="1" s="588"/>
    <row r="277" ht="12.75" customHeight="1" s="588"/>
    <row r="278" ht="12.75" customHeight="1" s="588"/>
    <row r="279" ht="12.75" customHeight="1" s="588"/>
    <row r="280" ht="12.75" customHeight="1" s="588"/>
    <row r="281" ht="12.75" customHeight="1" s="588"/>
    <row r="282" ht="12.75" customHeight="1" s="588"/>
    <row r="283" ht="12.75" customHeight="1" s="588"/>
    <row r="284" ht="12.75" customHeight="1" s="588"/>
    <row r="285" ht="12.75" customHeight="1" s="588"/>
    <row r="286" ht="12.75" customHeight="1" s="588"/>
    <row r="287" ht="12.75" customHeight="1" s="588"/>
    <row r="288" ht="12.75" customHeight="1" s="588"/>
    <row r="289" ht="12.75" customHeight="1" s="588"/>
    <row r="290" ht="12.75" customHeight="1" s="588"/>
    <row r="291" ht="12.75" customHeight="1" s="588"/>
    <row r="292" ht="12.75" customHeight="1" s="588"/>
    <row r="293" ht="12.75" customHeight="1" s="588"/>
    <row r="294" ht="12.75" customHeight="1" s="588"/>
    <row r="295" ht="12.75" customHeight="1" s="588"/>
    <row r="296" ht="12.75" customHeight="1" s="588"/>
    <row r="297" ht="12.75" customHeight="1" s="588"/>
    <row r="298" ht="12.75" customHeight="1" s="588"/>
    <row r="299" ht="12.75" customHeight="1" s="588"/>
    <row r="300" ht="12.75" customHeight="1" s="588"/>
    <row r="301" ht="12.75" customHeight="1" s="588"/>
    <row r="302" ht="12.75" customHeight="1" s="588"/>
    <row r="303" ht="12.75" customHeight="1" s="588"/>
    <row r="304" ht="12.75" customHeight="1" s="588"/>
    <row r="305" ht="12.75" customHeight="1" s="588"/>
    <row r="306" ht="12.75" customHeight="1" s="588"/>
    <row r="307" ht="12.75" customHeight="1" s="588"/>
    <row r="308" ht="12.75" customHeight="1" s="588"/>
    <row r="309" ht="12.75" customHeight="1" s="588"/>
    <row r="310" ht="12.75" customHeight="1" s="588"/>
    <row r="311" ht="12.75" customHeight="1" s="588"/>
    <row r="312" ht="12.75" customHeight="1" s="588"/>
    <row r="313" ht="12.75" customHeight="1" s="588"/>
    <row r="314" ht="12.75" customHeight="1" s="588"/>
    <row r="315" ht="12.75" customHeight="1" s="588"/>
    <row r="316" ht="12.75" customHeight="1" s="588"/>
    <row r="317" ht="12.75" customHeight="1" s="588"/>
    <row r="318" ht="12.75" customHeight="1" s="588"/>
    <row r="319" ht="12.75" customHeight="1" s="588"/>
    <row r="320" ht="12.75" customHeight="1" s="588"/>
    <row r="321" ht="12.75" customHeight="1" s="588"/>
    <row r="322" ht="12.75" customHeight="1" s="588"/>
    <row r="323" ht="12.75" customHeight="1" s="588"/>
    <row r="324" ht="12.75" customHeight="1" s="588"/>
    <row r="325" ht="12.75" customHeight="1" s="588"/>
    <row r="326" ht="12.75" customHeight="1" s="588"/>
    <row r="327" ht="12.75" customHeight="1" s="588"/>
    <row r="328" ht="12.75" customHeight="1" s="588"/>
    <row r="329" ht="12.75" customHeight="1" s="588"/>
    <row r="330" ht="12.75" customHeight="1" s="588"/>
    <row r="331" ht="12.75" customHeight="1" s="588"/>
    <row r="332" ht="12.75" customHeight="1" s="588"/>
    <row r="333" ht="12.75" customHeight="1" s="588"/>
    <row r="334" ht="12.75" customHeight="1" s="588"/>
    <row r="335" ht="12.75" customHeight="1" s="588"/>
    <row r="336" ht="12.75" customHeight="1" s="588"/>
    <row r="337" ht="12.75" customHeight="1" s="588"/>
    <row r="338" ht="12.75" customHeight="1" s="588"/>
    <row r="339" ht="12.75" customHeight="1" s="588"/>
    <row r="340" ht="12.75" customHeight="1" s="588"/>
    <row r="341" ht="12.75" customHeight="1" s="588"/>
    <row r="342" ht="12.75" customHeight="1" s="588"/>
    <row r="343" ht="12.75" customHeight="1" s="588"/>
    <row r="344" ht="12.75" customHeight="1" s="588"/>
    <row r="345" ht="12.75" customHeight="1" s="588"/>
    <row r="346" ht="12.75" customHeight="1" s="588"/>
    <row r="347" ht="12.75" customHeight="1" s="588"/>
    <row r="348" ht="12.75" customHeight="1" s="588"/>
    <row r="349" ht="12.75" customHeight="1" s="588"/>
    <row r="350" ht="12.75" customHeight="1" s="588"/>
    <row r="351" ht="12.75" customHeight="1" s="588"/>
    <row r="352" ht="12.75" customHeight="1" s="588"/>
    <row r="353" ht="12.75" customHeight="1" s="588"/>
    <row r="354" ht="12.75" customHeight="1" s="588"/>
    <row r="355" ht="12.75" customHeight="1" s="588"/>
    <row r="356" ht="12.75" customHeight="1" s="588"/>
    <row r="357" ht="12.75" customHeight="1" s="588"/>
    <row r="358" ht="12.75" customHeight="1" s="588"/>
    <row r="359" ht="12.75" customHeight="1" s="588"/>
    <row r="360" ht="12.75" customHeight="1" s="588"/>
    <row r="361" ht="12.75" customHeight="1" s="588"/>
    <row r="362" ht="12.75" customHeight="1" s="588"/>
    <row r="363" ht="12.75" customHeight="1" s="588"/>
    <row r="364" ht="12.75" customHeight="1" s="588"/>
    <row r="365" ht="12.75" customHeight="1" s="588"/>
    <row r="366" ht="12.75" customHeight="1" s="588"/>
    <row r="367" ht="12.75" customHeight="1" s="588"/>
    <row r="368" ht="12.75" customHeight="1" s="588"/>
    <row r="369" ht="12.75" customHeight="1" s="588"/>
    <row r="370" ht="12.75" customHeight="1" s="588"/>
    <row r="371" ht="12.75" customHeight="1" s="588"/>
    <row r="372" ht="12.75" customHeight="1" s="588"/>
    <row r="373" ht="12.75" customHeight="1" s="588"/>
    <row r="374" ht="12.75" customHeight="1" s="588"/>
    <row r="375" ht="12.75" customHeight="1" s="588"/>
    <row r="376" ht="12.75" customHeight="1" s="588"/>
    <row r="377" ht="12.75" customHeight="1" s="588"/>
    <row r="378" ht="12.75" customHeight="1" s="588"/>
    <row r="379" ht="12.75" customHeight="1" s="588"/>
    <row r="380" ht="12.75" customHeight="1" s="588"/>
    <row r="381" ht="12.75" customHeight="1" s="588"/>
    <row r="382" ht="12.75" customHeight="1" s="588"/>
    <row r="383" ht="12.75" customHeight="1" s="588"/>
    <row r="384" ht="12.75" customHeight="1" s="588"/>
    <row r="385" ht="12.75" customHeight="1" s="588"/>
    <row r="386" ht="12.75" customHeight="1" s="588"/>
    <row r="387" ht="12.75" customHeight="1" s="588"/>
    <row r="388" ht="12.75" customHeight="1" s="588"/>
    <row r="389" ht="12.75" customHeight="1" s="588"/>
    <row r="390" ht="12.75" customHeight="1" s="588"/>
    <row r="391" ht="12.75" customHeight="1" s="588"/>
    <row r="392" ht="12.75" customHeight="1" s="588"/>
    <row r="393" ht="12.75" customHeight="1" s="588"/>
    <row r="394" ht="12.75" customHeight="1" s="588"/>
    <row r="395" ht="12.75" customHeight="1" s="588"/>
    <row r="396" ht="12.75" customHeight="1" s="588"/>
    <row r="397" ht="12.75" customHeight="1" s="588"/>
    <row r="398" ht="12.75" customHeight="1" s="588"/>
    <row r="399" ht="12.75" customHeight="1" s="588"/>
    <row r="400" ht="12.75" customHeight="1" s="588"/>
    <row r="401" ht="12.75" customHeight="1" s="588"/>
    <row r="402" ht="12.75" customHeight="1" s="588"/>
    <row r="403" ht="12.75" customHeight="1" s="588"/>
    <row r="404" ht="12.75" customHeight="1" s="588"/>
    <row r="405" ht="12.75" customHeight="1" s="588"/>
    <row r="406" ht="12.75" customHeight="1" s="588"/>
    <row r="407" ht="12.75" customHeight="1" s="588"/>
    <row r="408" ht="12.75" customHeight="1" s="588"/>
    <row r="409" ht="12.75" customHeight="1" s="588"/>
    <row r="410" ht="12.75" customHeight="1" s="588"/>
    <row r="411" ht="12.75" customHeight="1" s="588"/>
    <row r="412" ht="12.75" customHeight="1" s="588"/>
    <row r="413" ht="12.75" customHeight="1" s="588"/>
    <row r="414" ht="12.75" customHeight="1" s="588"/>
    <row r="415" ht="12.75" customHeight="1" s="588"/>
    <row r="416" ht="12.75" customHeight="1" s="588"/>
    <row r="417" ht="12.75" customHeight="1" s="588"/>
    <row r="418" ht="12.75" customHeight="1" s="588"/>
    <row r="419" ht="12.75" customHeight="1" s="588"/>
    <row r="420" ht="12.75" customHeight="1" s="588"/>
    <row r="421" ht="12.75" customHeight="1" s="588"/>
    <row r="422" ht="12.75" customHeight="1" s="588"/>
    <row r="423" ht="12.75" customHeight="1" s="588"/>
    <row r="424" ht="12.75" customHeight="1" s="588"/>
    <row r="425" ht="12.75" customHeight="1" s="588"/>
    <row r="426" ht="12.75" customHeight="1" s="588"/>
    <row r="427" ht="12.75" customHeight="1" s="588"/>
    <row r="428" ht="12.75" customHeight="1" s="588"/>
    <row r="429" ht="12.75" customHeight="1" s="588"/>
    <row r="430" ht="12.75" customHeight="1" s="588"/>
    <row r="431" ht="12.75" customHeight="1" s="588"/>
    <row r="432" ht="12.75" customHeight="1" s="588"/>
    <row r="433" ht="12.75" customHeight="1" s="588"/>
    <row r="434" ht="12.75" customHeight="1" s="588"/>
    <row r="435" ht="12.75" customHeight="1" s="588"/>
    <row r="436" ht="12.75" customHeight="1" s="588"/>
    <row r="437" ht="12.75" customHeight="1" s="588"/>
    <row r="438" ht="12.75" customHeight="1" s="588"/>
    <row r="439" ht="12.75" customHeight="1" s="588"/>
    <row r="440" ht="12.75" customHeight="1" s="588"/>
    <row r="441" ht="12.75" customHeight="1" s="588"/>
    <row r="442" ht="12.75" customHeight="1" s="588"/>
    <row r="443" ht="12.75" customHeight="1" s="588"/>
    <row r="444" ht="12.75" customHeight="1" s="588"/>
    <row r="445" ht="12.75" customHeight="1" s="588"/>
    <row r="446" ht="12.75" customHeight="1" s="588"/>
    <row r="447" ht="12.75" customHeight="1" s="588"/>
    <row r="448" ht="12.75" customHeight="1" s="588"/>
    <row r="449" ht="12.75" customHeight="1" s="588"/>
    <row r="450" ht="12.75" customHeight="1" s="588"/>
    <row r="451" ht="12.75" customHeight="1" s="588"/>
    <row r="452" ht="12.75" customHeight="1" s="588"/>
    <row r="453" ht="12.75" customHeight="1" s="588"/>
    <row r="454" ht="12.75" customHeight="1" s="588"/>
    <row r="455" ht="12.75" customHeight="1" s="588"/>
    <row r="456" ht="12.75" customHeight="1" s="588"/>
    <row r="457" ht="12.75" customHeight="1" s="588"/>
    <row r="458" ht="12.75" customHeight="1" s="588"/>
    <row r="459" ht="12.75" customHeight="1" s="588"/>
    <row r="460" ht="12.75" customHeight="1" s="588"/>
    <row r="461" ht="12.75" customHeight="1" s="588"/>
    <row r="462" ht="12.75" customHeight="1" s="588"/>
    <row r="463" ht="12.75" customHeight="1" s="588"/>
    <row r="464" ht="12.75" customHeight="1" s="588"/>
    <row r="465" ht="12.75" customHeight="1" s="588"/>
    <row r="466" ht="12.75" customHeight="1" s="588"/>
    <row r="467" ht="12.75" customHeight="1" s="588"/>
    <row r="468" ht="12.75" customHeight="1" s="588"/>
    <row r="469" ht="12.75" customHeight="1" s="588"/>
    <row r="470" ht="12.75" customHeight="1" s="588"/>
    <row r="471" ht="12.75" customHeight="1" s="588"/>
    <row r="472" ht="12.75" customHeight="1" s="588"/>
    <row r="473" ht="12.75" customHeight="1" s="588"/>
    <row r="474" ht="12.75" customHeight="1" s="588"/>
    <row r="475" ht="12.75" customHeight="1" s="588"/>
    <row r="476" ht="12.75" customHeight="1" s="588"/>
    <row r="477" ht="12.75" customHeight="1" s="588"/>
    <row r="478" ht="12.75" customHeight="1" s="588"/>
    <row r="479" ht="12.75" customHeight="1" s="588"/>
    <row r="480" ht="12.75" customHeight="1" s="588"/>
    <row r="481" ht="12.75" customHeight="1" s="588"/>
    <row r="482" ht="12.75" customHeight="1" s="588"/>
    <row r="483" ht="12.75" customHeight="1" s="588"/>
    <row r="484" ht="12.75" customHeight="1" s="588"/>
    <row r="485" ht="12.75" customHeight="1" s="588"/>
    <row r="486" ht="12.75" customHeight="1" s="588"/>
    <row r="487" ht="12.75" customHeight="1" s="588"/>
    <row r="488" ht="12.75" customHeight="1" s="588"/>
    <row r="489" ht="12.75" customHeight="1" s="588"/>
    <row r="490" ht="12.75" customHeight="1" s="588"/>
    <row r="491" ht="12.75" customHeight="1" s="588"/>
    <row r="492" ht="12.75" customHeight="1" s="588"/>
    <row r="493" ht="12.75" customHeight="1" s="588"/>
    <row r="494" ht="12.75" customHeight="1" s="588"/>
    <row r="495" ht="12.75" customHeight="1" s="588"/>
    <row r="496" ht="12.75" customHeight="1" s="588"/>
    <row r="497" ht="12.75" customHeight="1" s="588"/>
    <row r="498" ht="12.75" customHeight="1" s="588"/>
    <row r="499" ht="12.75" customHeight="1" s="588"/>
    <row r="500" ht="12.75" customHeight="1" s="588"/>
    <row r="501" ht="12.75" customHeight="1" s="588"/>
    <row r="502" ht="12.75" customHeight="1" s="588"/>
    <row r="503" ht="12.75" customHeight="1" s="588"/>
    <row r="504" ht="12.75" customHeight="1" s="588"/>
    <row r="505" ht="12.75" customHeight="1" s="588"/>
    <row r="506" ht="12.75" customHeight="1" s="588"/>
    <row r="507" ht="12.75" customHeight="1" s="588"/>
    <row r="508" ht="12.75" customHeight="1" s="588"/>
    <row r="509" ht="12.75" customHeight="1" s="588"/>
    <row r="510" ht="12.75" customHeight="1" s="588"/>
    <row r="511" ht="12.75" customHeight="1" s="588"/>
    <row r="512" ht="12.75" customHeight="1" s="588"/>
    <row r="513" ht="12.75" customHeight="1" s="588"/>
    <row r="514" ht="12.75" customHeight="1" s="588"/>
    <row r="515" ht="12.75" customHeight="1" s="588"/>
    <row r="516" ht="12.75" customHeight="1" s="588"/>
    <row r="517" ht="12.75" customHeight="1" s="588"/>
    <row r="518" ht="12.75" customHeight="1" s="588"/>
    <row r="519" ht="12.75" customHeight="1" s="588"/>
    <row r="520" ht="12.75" customHeight="1" s="588"/>
    <row r="521" ht="12.75" customHeight="1" s="588"/>
    <row r="522" ht="12.75" customHeight="1" s="588"/>
    <row r="523" ht="12.75" customHeight="1" s="588"/>
    <row r="524" ht="12.75" customHeight="1" s="588"/>
    <row r="525" ht="12.75" customHeight="1" s="588"/>
    <row r="526" ht="12.75" customHeight="1" s="588"/>
    <row r="527" ht="12.75" customHeight="1" s="588"/>
    <row r="528" ht="12.75" customHeight="1" s="588"/>
    <row r="529" ht="12.75" customHeight="1" s="588"/>
    <row r="530" ht="12.75" customHeight="1" s="588"/>
    <row r="531" ht="12.75" customHeight="1" s="588"/>
    <row r="532" ht="12.75" customHeight="1" s="588"/>
    <row r="533" ht="12.75" customHeight="1" s="588"/>
    <row r="534" ht="12.75" customHeight="1" s="588"/>
    <row r="535" ht="12.75" customHeight="1" s="588"/>
    <row r="536" ht="12.75" customHeight="1" s="588"/>
    <row r="537" ht="12.75" customHeight="1" s="588"/>
    <row r="538" ht="12.75" customHeight="1" s="588"/>
    <row r="539" ht="12.75" customHeight="1" s="588"/>
    <row r="540" ht="12.75" customHeight="1" s="588"/>
    <row r="541" ht="12.75" customHeight="1" s="588"/>
    <row r="542" ht="12.75" customHeight="1" s="588"/>
    <row r="543" ht="12.75" customHeight="1" s="588"/>
    <row r="544" ht="12.75" customHeight="1" s="588"/>
    <row r="545" ht="12.75" customHeight="1" s="588"/>
    <row r="546" ht="12.75" customHeight="1" s="588"/>
    <row r="547" ht="12.75" customHeight="1" s="588"/>
    <row r="548" ht="12.75" customHeight="1" s="588"/>
    <row r="549" ht="12.75" customHeight="1" s="588"/>
    <row r="550" ht="12.75" customHeight="1" s="588"/>
    <row r="551" ht="12.75" customHeight="1" s="588"/>
    <row r="552" ht="12.75" customHeight="1" s="588"/>
    <row r="553" ht="12.75" customHeight="1" s="588"/>
    <row r="554" ht="12.75" customHeight="1" s="588"/>
    <row r="555" ht="12.75" customHeight="1" s="588"/>
    <row r="556" ht="12.75" customHeight="1" s="588"/>
    <row r="557" ht="12.75" customHeight="1" s="588"/>
    <row r="558" ht="12.75" customHeight="1" s="588"/>
    <row r="559" ht="12.75" customHeight="1" s="588"/>
    <row r="560" ht="12.75" customHeight="1" s="588"/>
    <row r="561" ht="12.75" customHeight="1" s="588"/>
    <row r="562" ht="12.75" customHeight="1" s="588"/>
    <row r="563" ht="12.75" customHeight="1" s="588"/>
    <row r="564" ht="12.75" customHeight="1" s="588"/>
    <row r="565" ht="12.75" customHeight="1" s="588"/>
    <row r="566" ht="12.75" customHeight="1" s="588"/>
    <row r="567" ht="12.75" customHeight="1" s="588"/>
    <row r="568" ht="12.75" customHeight="1" s="588"/>
    <row r="569" ht="12.75" customHeight="1" s="588"/>
    <row r="570" ht="12.75" customHeight="1" s="588"/>
    <row r="571" ht="12.75" customHeight="1" s="588"/>
    <row r="572" ht="12.75" customHeight="1" s="588"/>
    <row r="573" ht="12.75" customHeight="1" s="588"/>
    <row r="574" ht="12.75" customHeight="1" s="588"/>
    <row r="575" ht="12.75" customHeight="1" s="588"/>
    <row r="576" ht="12.75" customHeight="1" s="588"/>
    <row r="577" ht="12.75" customHeight="1" s="588"/>
    <row r="578" ht="12.75" customHeight="1" s="588"/>
    <row r="579" ht="12.75" customHeight="1" s="588"/>
    <row r="580" ht="12.75" customHeight="1" s="588"/>
    <row r="581" ht="12.75" customHeight="1" s="588"/>
    <row r="582" ht="12.75" customHeight="1" s="588"/>
    <row r="583" ht="12.75" customHeight="1" s="588"/>
    <row r="584" ht="12.75" customHeight="1" s="588"/>
    <row r="585" ht="12.75" customHeight="1" s="588"/>
    <row r="586" ht="12.75" customHeight="1" s="588"/>
    <row r="587" ht="12.75" customHeight="1" s="588"/>
    <row r="588" ht="12.75" customHeight="1" s="588"/>
    <row r="589" ht="12.75" customHeight="1" s="588"/>
    <row r="590" ht="12.75" customHeight="1" s="588"/>
    <row r="591" ht="12.75" customHeight="1" s="588"/>
    <row r="592" ht="12.75" customHeight="1" s="588"/>
    <row r="593" ht="12.75" customHeight="1" s="588"/>
    <row r="594" ht="12.75" customHeight="1" s="588"/>
    <row r="595" ht="12.75" customHeight="1" s="588"/>
    <row r="596" ht="12.75" customHeight="1" s="588"/>
    <row r="597" ht="12.75" customHeight="1" s="588"/>
    <row r="598" ht="12.75" customHeight="1" s="588"/>
    <row r="599" ht="12.75" customHeight="1" s="588"/>
    <row r="600" ht="12.75" customHeight="1" s="588"/>
    <row r="601" ht="12.75" customHeight="1" s="588"/>
    <row r="602" ht="12.75" customHeight="1" s="588"/>
    <row r="603" ht="12.75" customHeight="1" s="588"/>
    <row r="604" ht="12.75" customHeight="1" s="588"/>
    <row r="605" ht="12.75" customHeight="1" s="588"/>
    <row r="606" ht="12.75" customHeight="1" s="588"/>
    <row r="607" ht="12.75" customHeight="1" s="588"/>
    <row r="608" ht="12.75" customHeight="1" s="588"/>
    <row r="609" ht="12.75" customHeight="1" s="588"/>
    <row r="610" ht="12.75" customHeight="1" s="588"/>
    <row r="611" ht="12.75" customHeight="1" s="588"/>
    <row r="612" ht="12.75" customHeight="1" s="588"/>
    <row r="613" ht="12.75" customHeight="1" s="588"/>
    <row r="614" ht="12.75" customHeight="1" s="588"/>
    <row r="615" ht="12.75" customHeight="1" s="588"/>
    <row r="616" ht="12.75" customHeight="1" s="588"/>
    <row r="617" ht="12.75" customHeight="1" s="588"/>
    <row r="618" ht="12.75" customHeight="1" s="588"/>
    <row r="619" ht="12.75" customHeight="1" s="588"/>
    <row r="620" ht="12.75" customHeight="1" s="588"/>
    <row r="621" ht="12.75" customHeight="1" s="588"/>
    <row r="622" ht="12.75" customHeight="1" s="588"/>
    <row r="623" ht="12.75" customHeight="1" s="588"/>
    <row r="624" ht="12.75" customHeight="1" s="588"/>
    <row r="625" ht="12.75" customHeight="1" s="588"/>
    <row r="626" ht="12.75" customHeight="1" s="588"/>
    <row r="627" ht="12.75" customHeight="1" s="588"/>
    <row r="628" ht="12.75" customHeight="1" s="588"/>
    <row r="629" ht="12.75" customHeight="1" s="588"/>
    <row r="630" ht="12.75" customHeight="1" s="588"/>
    <row r="631" ht="12.75" customHeight="1" s="588"/>
    <row r="632" ht="12.75" customHeight="1" s="588"/>
    <row r="633" ht="12.75" customHeight="1" s="588"/>
    <row r="634" ht="12.75" customHeight="1" s="588"/>
    <row r="635" ht="12.75" customHeight="1" s="588"/>
    <row r="636" ht="12.75" customHeight="1" s="588"/>
    <row r="637" ht="12.75" customHeight="1" s="588"/>
    <row r="638" ht="12.75" customHeight="1" s="588"/>
    <row r="639" ht="12.75" customHeight="1" s="588"/>
    <row r="640" ht="12.75" customHeight="1" s="588"/>
    <row r="641" ht="12.75" customHeight="1" s="588"/>
    <row r="642" ht="12.75" customHeight="1" s="588"/>
    <row r="643" ht="12.75" customHeight="1" s="588"/>
    <row r="644" ht="12.75" customHeight="1" s="588"/>
    <row r="645" ht="12.75" customHeight="1" s="588"/>
    <row r="646" ht="12.75" customHeight="1" s="588"/>
    <row r="647" ht="12.75" customHeight="1" s="588"/>
    <row r="648" ht="12.75" customHeight="1" s="588"/>
    <row r="649" ht="12.75" customHeight="1" s="588"/>
    <row r="650" ht="12.75" customHeight="1" s="588"/>
    <row r="651" ht="12.75" customHeight="1" s="588"/>
    <row r="652" ht="12.75" customHeight="1" s="588"/>
    <row r="653" ht="12.75" customHeight="1" s="588"/>
    <row r="654" ht="12.75" customHeight="1" s="588"/>
    <row r="655" ht="12.75" customHeight="1" s="588"/>
    <row r="656" ht="12.75" customHeight="1" s="588"/>
    <row r="657" ht="12.75" customHeight="1" s="588"/>
    <row r="658" ht="12.75" customHeight="1" s="588"/>
    <row r="659" ht="12.75" customHeight="1" s="588"/>
    <row r="660" ht="12.75" customHeight="1" s="588"/>
    <row r="661" ht="12.75" customHeight="1" s="588"/>
    <row r="662" ht="12.75" customHeight="1" s="588"/>
    <row r="663" ht="12.75" customHeight="1" s="588"/>
    <row r="664" ht="12.75" customHeight="1" s="588"/>
    <row r="665" ht="12.75" customHeight="1" s="588"/>
    <row r="666" ht="12.75" customHeight="1" s="588"/>
    <row r="667" ht="12.75" customHeight="1" s="588"/>
    <row r="668" ht="12.75" customHeight="1" s="588"/>
    <row r="669" ht="12.75" customHeight="1" s="588"/>
    <row r="670" ht="12.75" customHeight="1" s="588"/>
    <row r="671" ht="12.75" customHeight="1" s="588"/>
    <row r="672" ht="12.75" customHeight="1" s="588"/>
    <row r="673" ht="12.75" customHeight="1" s="588"/>
    <row r="674" ht="12.75" customHeight="1" s="588"/>
    <row r="675" ht="12.75" customHeight="1" s="588"/>
    <row r="676" ht="12.75" customHeight="1" s="588"/>
    <row r="677" ht="12.75" customHeight="1" s="588"/>
    <row r="678" ht="12.75" customHeight="1" s="588"/>
    <row r="679" ht="12.75" customHeight="1" s="588"/>
    <row r="680" ht="12.75" customHeight="1" s="588"/>
    <row r="681" ht="12.75" customHeight="1" s="588"/>
    <row r="682" ht="12.75" customHeight="1" s="588"/>
    <row r="683" ht="12.75" customHeight="1" s="588"/>
    <row r="684" ht="12.75" customHeight="1" s="588"/>
    <row r="685" ht="12.75" customHeight="1" s="588"/>
    <row r="686" ht="12.75" customHeight="1" s="588"/>
    <row r="687" ht="12.75" customHeight="1" s="588"/>
    <row r="688" ht="12.75" customHeight="1" s="588"/>
    <row r="689" ht="12.75" customHeight="1" s="588"/>
    <row r="690" ht="12.75" customHeight="1" s="588"/>
    <row r="691" ht="12.75" customHeight="1" s="588"/>
    <row r="692" ht="12.75" customHeight="1" s="588"/>
    <row r="693" ht="12.75" customHeight="1" s="588"/>
    <row r="694" ht="12.75" customHeight="1" s="588"/>
    <row r="695" ht="12.75" customHeight="1" s="588"/>
    <row r="696" ht="12.75" customHeight="1" s="588"/>
    <row r="697" ht="12.75" customHeight="1" s="588"/>
    <row r="698" ht="12.75" customHeight="1" s="588"/>
    <row r="699" ht="12.75" customHeight="1" s="588"/>
    <row r="700" ht="12.75" customHeight="1" s="588"/>
    <row r="701" ht="12.75" customHeight="1" s="588"/>
    <row r="702" ht="12.75" customHeight="1" s="588"/>
    <row r="703" ht="12.75" customHeight="1" s="588"/>
    <row r="704" ht="12.75" customHeight="1" s="588"/>
    <row r="705" ht="12.75" customHeight="1" s="588"/>
    <row r="706" ht="12.75" customHeight="1" s="588"/>
    <row r="707" ht="12.75" customHeight="1" s="588"/>
    <row r="708" ht="12.75" customHeight="1" s="588"/>
    <row r="709" ht="12.75" customHeight="1" s="588"/>
    <row r="710" ht="12.75" customHeight="1" s="588"/>
    <row r="711" ht="12.75" customHeight="1" s="588"/>
    <row r="712" ht="12.75" customHeight="1" s="588"/>
    <row r="713" ht="12.75" customHeight="1" s="588"/>
    <row r="714" ht="12.75" customHeight="1" s="588"/>
    <row r="715" ht="12.75" customHeight="1" s="588"/>
    <row r="716" ht="12.75" customHeight="1" s="588"/>
    <row r="717" ht="12.75" customHeight="1" s="588"/>
    <row r="718" ht="12.75" customHeight="1" s="588"/>
    <row r="719" ht="12.75" customHeight="1" s="588"/>
    <row r="720" ht="12.75" customHeight="1" s="588"/>
    <row r="721" ht="12.75" customHeight="1" s="588"/>
    <row r="722" ht="12.75" customHeight="1" s="588"/>
    <row r="723" ht="12.75" customHeight="1" s="588"/>
    <row r="724" ht="12.75" customHeight="1" s="588"/>
    <row r="725" ht="12.75" customHeight="1" s="588"/>
    <row r="726" ht="12.75" customHeight="1" s="588"/>
    <row r="727" ht="12.75" customHeight="1" s="588"/>
    <row r="728" ht="12.75" customHeight="1" s="588"/>
    <row r="729" ht="12.75" customHeight="1" s="588"/>
    <row r="730" ht="12.75" customHeight="1" s="588"/>
    <row r="731" ht="12.75" customHeight="1" s="588"/>
    <row r="732" ht="12.75" customHeight="1" s="588"/>
    <row r="733" ht="12.75" customHeight="1" s="588"/>
    <row r="734" ht="12.75" customHeight="1" s="588"/>
    <row r="735" ht="12.75" customHeight="1" s="588"/>
    <row r="736" ht="12.75" customHeight="1" s="588"/>
    <row r="737" ht="12.75" customHeight="1" s="588"/>
    <row r="738" ht="12.75" customHeight="1" s="588"/>
    <row r="739" ht="12.75" customHeight="1" s="588"/>
    <row r="740" ht="12.75" customHeight="1" s="588"/>
    <row r="741" ht="12.75" customHeight="1" s="588"/>
    <row r="742" ht="12.75" customHeight="1" s="588"/>
    <row r="743" ht="12.75" customHeight="1" s="588"/>
    <row r="744" ht="12.75" customHeight="1" s="588"/>
    <row r="745" ht="12.75" customHeight="1" s="588"/>
    <row r="746" ht="12.75" customHeight="1" s="588"/>
    <row r="747" ht="12.75" customHeight="1" s="588"/>
    <row r="748" ht="12.75" customHeight="1" s="588"/>
    <row r="749" ht="12.75" customHeight="1" s="588"/>
    <row r="750" ht="12.75" customHeight="1" s="588"/>
    <row r="751" ht="12.75" customHeight="1" s="588"/>
    <row r="752" ht="12.75" customHeight="1" s="588"/>
    <row r="753" ht="12.75" customHeight="1" s="588"/>
    <row r="754" ht="12.75" customHeight="1" s="588"/>
    <row r="755" ht="12.75" customHeight="1" s="588"/>
    <row r="756" ht="12.75" customHeight="1" s="588"/>
    <row r="757" ht="12.75" customHeight="1" s="588"/>
    <row r="758" ht="12.75" customHeight="1" s="588"/>
    <row r="759" ht="12.75" customHeight="1" s="588"/>
    <row r="760" ht="12.75" customHeight="1" s="588"/>
    <row r="761" ht="12.75" customHeight="1" s="588"/>
    <row r="762" ht="12.75" customHeight="1" s="588"/>
    <row r="763" ht="12.75" customHeight="1" s="588"/>
    <row r="764" ht="12.75" customHeight="1" s="588"/>
    <row r="765" ht="12.75" customHeight="1" s="588"/>
    <row r="766" ht="12.75" customHeight="1" s="588"/>
    <row r="767" ht="12.75" customHeight="1" s="588"/>
    <row r="768" ht="12.75" customHeight="1" s="588"/>
    <row r="769" ht="12.75" customHeight="1" s="588"/>
    <row r="770" ht="12.75" customHeight="1" s="588"/>
    <row r="771" ht="12.75" customHeight="1" s="588"/>
    <row r="772" ht="12.75" customHeight="1" s="588"/>
    <row r="773" ht="12.75" customHeight="1" s="588"/>
    <row r="774" ht="12.75" customHeight="1" s="588"/>
    <row r="775" ht="12.75" customHeight="1" s="588"/>
    <row r="776" ht="12.75" customHeight="1" s="588"/>
    <row r="777" ht="12.75" customHeight="1" s="588"/>
    <row r="778" ht="12.75" customHeight="1" s="588"/>
    <row r="779" ht="12.75" customHeight="1" s="588"/>
    <row r="780" ht="12.75" customHeight="1" s="588"/>
    <row r="781" ht="12.75" customHeight="1" s="588"/>
    <row r="782" ht="12.75" customHeight="1" s="588"/>
    <row r="783" ht="12.75" customHeight="1" s="588"/>
    <row r="784" ht="12.75" customHeight="1" s="588"/>
    <row r="785" ht="12.75" customHeight="1" s="588"/>
    <row r="786" ht="12.75" customHeight="1" s="588"/>
    <row r="787" ht="12.75" customHeight="1" s="588"/>
    <row r="788" ht="12.75" customHeight="1" s="588"/>
    <row r="789" ht="12.75" customHeight="1" s="588"/>
    <row r="790" ht="12.75" customHeight="1" s="588"/>
    <row r="791" ht="12.75" customHeight="1" s="588"/>
    <row r="792" ht="12.75" customHeight="1" s="588"/>
    <row r="793" ht="12.75" customHeight="1" s="588"/>
    <row r="794" ht="12.75" customHeight="1" s="588"/>
    <row r="795" ht="12.75" customHeight="1" s="588"/>
    <row r="796" ht="12.75" customHeight="1" s="588"/>
    <row r="797" ht="12.75" customHeight="1" s="588"/>
    <row r="798" ht="12.75" customHeight="1" s="588"/>
    <row r="799" ht="12.75" customHeight="1" s="588"/>
    <row r="800" ht="12.75" customHeight="1" s="588"/>
    <row r="801" ht="12.75" customHeight="1" s="588"/>
    <row r="802" ht="12.75" customHeight="1" s="588"/>
    <row r="803" ht="12.75" customHeight="1" s="588"/>
    <row r="804" ht="12.75" customHeight="1" s="588"/>
    <row r="805" ht="12.75" customHeight="1" s="588"/>
    <row r="806" ht="12.75" customHeight="1" s="588"/>
    <row r="807" ht="12.75" customHeight="1" s="588"/>
    <row r="808" ht="12.75" customHeight="1" s="588"/>
    <row r="809" ht="12.75" customHeight="1" s="588"/>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95">
    <mergeCell ref="A79:A82"/>
    <mergeCell ref="J89:K92"/>
    <mergeCell ref="I44:K47"/>
    <mergeCell ref="H94:I97"/>
    <mergeCell ref="A54:A57"/>
    <mergeCell ref="H84:I87"/>
    <mergeCell ref="F158:G158"/>
    <mergeCell ref="B77:C77"/>
    <mergeCell ref="D77:E77"/>
    <mergeCell ref="G64:H67"/>
    <mergeCell ref="H99:I102"/>
    <mergeCell ref="B42:F42"/>
    <mergeCell ref="C146:D146"/>
    <mergeCell ref="G54:H57"/>
    <mergeCell ref="B49:F52"/>
    <mergeCell ref="B123:F126"/>
    <mergeCell ref="C148:D148"/>
    <mergeCell ref="I54:K57"/>
    <mergeCell ref="B113:F116"/>
    <mergeCell ref="A113:A116"/>
    <mergeCell ref="C189:J194"/>
    <mergeCell ref="B94:C97"/>
    <mergeCell ref="C158:D158"/>
    <mergeCell ref="B59:F62"/>
    <mergeCell ref="F89:G92"/>
    <mergeCell ref="H89:I92"/>
    <mergeCell ref="A49:A52"/>
    <mergeCell ref="F79:G82"/>
    <mergeCell ref="F148:G148"/>
    <mergeCell ref="H79:I82"/>
    <mergeCell ref="I158:J158"/>
    <mergeCell ref="A94:A97"/>
    <mergeCell ref="A64:A67"/>
    <mergeCell ref="F146:G146"/>
    <mergeCell ref="A6:K35"/>
    <mergeCell ref="G118:H121"/>
    <mergeCell ref="B44:F47"/>
    <mergeCell ref="B118:F121"/>
    <mergeCell ref="J77:K77"/>
    <mergeCell ref="I59:K62"/>
    <mergeCell ref="A89:A92"/>
    <mergeCell ref="B111:F111"/>
    <mergeCell ref="B99:C102"/>
    <mergeCell ref="G44:H47"/>
    <mergeCell ref="F150:G150"/>
    <mergeCell ref="D94:E97"/>
    <mergeCell ref="D84:E87"/>
    <mergeCell ref="F84:G87"/>
    <mergeCell ref="I148:J148"/>
    <mergeCell ref="F152:G152"/>
    <mergeCell ref="D99:E102"/>
    <mergeCell ref="J84:K87"/>
    <mergeCell ref="A123:A126"/>
    <mergeCell ref="J99:K102"/>
    <mergeCell ref="I123:K126"/>
    <mergeCell ref="G42:H42"/>
    <mergeCell ref="G49:H52"/>
    <mergeCell ref="J79:K82"/>
    <mergeCell ref="A84:A87"/>
    <mergeCell ref="A118:A121"/>
    <mergeCell ref="J94:K97"/>
    <mergeCell ref="C152:D152"/>
    <mergeCell ref="I49:K52"/>
    <mergeCell ref="I150:J150"/>
    <mergeCell ref="F154:G154"/>
    <mergeCell ref="I113:K116"/>
    <mergeCell ref="B64:F67"/>
    <mergeCell ref="I152:J152"/>
    <mergeCell ref="F156:G156"/>
    <mergeCell ref="B89:C92"/>
    <mergeCell ref="G59:H62"/>
    <mergeCell ref="B54:F57"/>
    <mergeCell ref="F77:G77"/>
    <mergeCell ref="A44:A47"/>
    <mergeCell ref="H77:I77"/>
    <mergeCell ref="I118:K121"/>
    <mergeCell ref="C154:D154"/>
    <mergeCell ref="I64:K67"/>
    <mergeCell ref="C156:D156"/>
    <mergeCell ref="I154:J154"/>
    <mergeCell ref="B84:C87"/>
    <mergeCell ref="A99:A102"/>
    <mergeCell ref="F94:G97"/>
    <mergeCell ref="I156:J156"/>
    <mergeCell ref="G123:H126"/>
    <mergeCell ref="I146:J146"/>
    <mergeCell ref="D89:E92"/>
    <mergeCell ref="G113:H116"/>
    <mergeCell ref="C40:J40"/>
    <mergeCell ref="B79:C82"/>
    <mergeCell ref="D79:E82"/>
    <mergeCell ref="C150:D150"/>
    <mergeCell ref="F99:G102"/>
    <mergeCell ref="A59:A62"/>
    <mergeCell ref="G111:H111"/>
  </mergeCells>
  <dataValidations count="5">
    <dataValidation sqref="G44 G49 G54 G59 G113 G118 G123" showDropDown="0" showInputMessage="1" showErrorMessage="1" allowBlank="1" prompt="Número aproximado de Clientes potenciales en este Segmento." type="decimal" operator="greaterThan">
      <formula1>0.0</formula1>
    </dataValidation>
    <dataValidation sqref="C148 C150 C152 C154 C156 C158" showDropDown="0" showInputMessage="0" showErrorMessage="1" allowBlank="1" type="list">
      <formula1>$C$159:$C$163</formula1>
    </dataValidation>
    <dataValidation sqref="F150 F152 F154 F156 F158" showDropDown="0" showInputMessage="0" showErrorMessage="1" allowBlank="1" type="list">
      <formula1>$F$159:$F$164</formula1>
    </dataValidation>
    <dataValidation sqref="F148" showDropDown="0" showInputMessage="1" showErrorMessage="1" allowBlank="1" prompt="Ten presente lo que has escrito en las páginas &quot;Para Quién 2&quot; y &quot;Para Quién 4&quot;" type="list">
      <formula1>$F$159:$F$164</formula1>
    </dataValidation>
    <dataValidation sqref="I148 I150 I152 I154 I156 I158" showDropDown="0" showInputMessage="0" showErrorMessage="1" allowBlank="1" type="list">
      <formula1>$I$159:$I$163</formula1>
    </dataValidation>
  </dataValidations>
  <hyperlinks>
    <hyperlink xmlns:r="http://schemas.openxmlformats.org/officeDocument/2006/relationships" ref="I44" r:id="rId1"/>
  </hyperlinks>
  <pageMargins left="0.7086614173228347" right="0.7086614173228347" top="0.9448818897637796" bottom="0.7480314960629921" header="0" footer="0"/>
  <pageSetup orientation="landscape" paperSize="9"/>
  <headerFooter>
    <oddHeader/>
    <oddFooter>&amp;L00-048&amp;F&amp;C03+079Metodología INCYNCO&amp;R00-048Para Quién &amp;P</oddFooter>
    <evenHeader/>
    <evenFooter/>
    <firstHeader/>
    <firstFooter/>
  </headerFooter>
</worksheet>
</file>

<file path=xl/worksheets/sheet4.xml><?xml version="1.0" encoding="utf-8"?>
<worksheet xmlns="http://schemas.openxmlformats.org/spreadsheetml/2006/main">
  <sheetPr>
    <tabColor rgb="FF8DB3E2"/>
    <outlinePr summaryBelow="1" summaryRight="1"/>
    <pageSetUpPr/>
  </sheetPr>
  <dimension ref="A1:Z809"/>
  <sheetViews>
    <sheetView workbookViewId="0">
      <selection activeCell="A1" sqref="A1"/>
    </sheetView>
  </sheetViews>
  <sheetFormatPr baseColWidth="8" defaultColWidth="14.43" defaultRowHeight="15" customHeight="1"/>
  <cols>
    <col width="10.71" customWidth="1" style="588" min="1" max="26"/>
  </cols>
  <sheetData>
    <row r="1" ht="12.75" customHeight="1" s="588">
      <c r="A1" s="8" t="inlineStr">
        <is>
          <t>¿CÓMO?</t>
        </is>
      </c>
      <c r="B1" s="1" t="n"/>
      <c r="C1" s="1" t="n"/>
      <c r="D1" s="1" t="n"/>
      <c r="E1" s="1" t="n"/>
      <c r="F1" s="1" t="n"/>
      <c r="G1" s="1" t="n"/>
      <c r="H1" s="1" t="n"/>
      <c r="I1" s="1" t="n"/>
      <c r="J1" s="1" t="n"/>
      <c r="K1" s="185" t="inlineStr">
        <is>
          <t>CANVAS</t>
        </is>
      </c>
      <c r="L1" s="16" t="n"/>
      <c r="M1" s="16" t="n"/>
      <c r="N1" s="16" t="n"/>
      <c r="O1" s="16" t="n"/>
      <c r="P1" s="16" t="n"/>
      <c r="Q1" s="16" t="n"/>
      <c r="R1" s="16" t="n"/>
      <c r="S1" s="16" t="n"/>
      <c r="T1" s="16" t="n"/>
      <c r="U1" s="16" t="n"/>
      <c r="V1" s="16" t="n"/>
      <c r="W1" s="16" t="n"/>
      <c r="X1" s="16" t="n"/>
      <c r="Y1" s="16" t="n"/>
      <c r="Z1" s="16" t="n"/>
    </row>
    <row r="2" ht="12.75" customHeight="1" s="588">
      <c r="A2" s="1" t="n"/>
      <c r="B2" s="1" t="n"/>
      <c r="C2" s="1" t="n"/>
      <c r="D2" s="1" t="n"/>
      <c r="E2" s="1" t="n"/>
      <c r="F2" s="1" t="n"/>
      <c r="G2" s="1" t="n"/>
      <c r="H2" s="1" t="n"/>
      <c r="I2" s="1" t="n"/>
      <c r="J2" s="1" t="n"/>
      <c r="K2" s="1" t="n"/>
      <c r="L2" s="16" t="n"/>
      <c r="M2" s="16" t="n"/>
      <c r="N2" s="16" t="n"/>
      <c r="O2" s="16" t="n"/>
      <c r="P2" s="16"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c r="L3" s="16" t="n"/>
      <c r="M3" s="16" t="n"/>
      <c r="N3" s="16" t="n"/>
      <c r="O3" s="16" t="n"/>
      <c r="P3" s="16" t="n"/>
      <c r="Q3" s="16" t="n"/>
      <c r="R3" s="16" t="n"/>
      <c r="S3" s="16" t="n"/>
      <c r="T3" s="16" t="n"/>
      <c r="U3" s="16" t="n"/>
      <c r="V3" s="16" t="n"/>
      <c r="W3" s="16" t="n"/>
      <c r="X3" s="16" t="n"/>
      <c r="Y3" s="16" t="n"/>
      <c r="Z3" s="16" t="n"/>
    </row>
    <row r="4" ht="12.75" customHeight="1" s="588">
      <c r="A4" s="667" t="inlineStr">
        <is>
          <t>Asociaciones clave</t>
        </is>
      </c>
      <c r="B4" s="652" t="n"/>
      <c r="C4" s="668" t="inlineStr">
        <is>
          <t>Actividades clave</t>
        </is>
      </c>
      <c r="D4" s="652" t="n"/>
      <c r="E4" s="668" t="inlineStr">
        <is>
          <t>Propuesta de Valor</t>
        </is>
      </c>
      <c r="F4" s="610" t="n"/>
      <c r="G4" s="652" t="n"/>
      <c r="H4" s="669" t="inlineStr">
        <is>
          <t>Relaciones con Clientes</t>
        </is>
      </c>
      <c r="I4" s="652" t="n"/>
      <c r="J4" s="670" t="inlineStr">
        <is>
          <t>Segmentos de Mercado</t>
        </is>
      </c>
      <c r="K4" s="611" t="n"/>
      <c r="L4" s="16" t="n"/>
      <c r="M4" s="16" t="n"/>
      <c r="N4" s="16" t="n"/>
      <c r="O4" s="16" t="n"/>
      <c r="P4" s="16" t="n"/>
      <c r="Q4" s="16" t="n"/>
      <c r="R4" s="16" t="n"/>
      <c r="S4" s="16" t="n"/>
      <c r="T4" s="16" t="n"/>
      <c r="U4" s="16" t="n"/>
      <c r="V4" s="16" t="n"/>
      <c r="W4" s="16" t="n"/>
      <c r="X4" s="16" t="n"/>
      <c r="Y4" s="16" t="n"/>
      <c r="Z4" s="16" t="n"/>
    </row>
    <row r="5" ht="12.75" customHeight="1" s="588">
      <c r="A5" s="612" t="n"/>
      <c r="B5" s="596" t="n"/>
      <c r="C5" s="595" t="n"/>
      <c r="D5" s="596" t="n"/>
      <c r="E5" s="595" t="n"/>
      <c r="G5" s="596" t="n"/>
      <c r="I5" s="596" t="n"/>
      <c r="J5" s="595" t="n"/>
      <c r="K5" s="613" t="n"/>
      <c r="L5" s="16" t="n"/>
      <c r="M5" s="16" t="n"/>
      <c r="N5" s="16" t="n"/>
      <c r="O5" s="16" t="n"/>
      <c r="P5" s="16" t="n"/>
      <c r="Q5" s="16" t="n"/>
      <c r="R5" s="16" t="n"/>
      <c r="S5" s="16" t="n"/>
      <c r="T5" s="16" t="n"/>
      <c r="U5" s="16" t="n"/>
      <c r="V5" s="16" t="n"/>
      <c r="W5" s="16" t="n"/>
      <c r="X5" s="16" t="n"/>
      <c r="Y5" s="16" t="n"/>
      <c r="Z5" s="16" t="n"/>
    </row>
    <row r="6" ht="12.75" customHeight="1" s="588">
      <c r="A6" s="671" t="inlineStr">
        <is>
          <t>Proveedor de hosting gestionado
Asesoría fiscal-laboral de Ponferrada
Freelances de producción (picos)
Imprenta y rotulación local
Gestorías y agencias prescriptoras
Cámara de Comercio y CONFEBIERZO</t>
        </is>
      </c>
      <c r="B6" s="596" t="n"/>
      <c r="C6" s="672" t="inlineStr">
        <is>
          <t>Prospección y venta consultiva
Diagnóstico digital del cliente
Diseño y producción web
Diseño gráfico e identidad
Mantenimiento y seguridad
SEO local y ficha de Google
Formación continua</t>
        </is>
      </c>
      <c r="D6" s="596" t="n"/>
      <c r="E6" s="673" t="inlineStr">
        <is>
          <t>Presencia digital que funciona todos los meses, con un proveedor local con cara visible: web + identidad + mantenimiento + SEO local en un solo interlocutor.</t>
        </is>
      </c>
      <c r="G6" s="596" t="n"/>
      <c r="H6" s="674" t="inlineStr">
        <is>
          <t>Personalizada y continuada: interlocutor único, revisión trimestral presencial incluida en la cuota de mantenimiento.</t>
        </is>
      </c>
      <c r="I6" s="596" t="n"/>
      <c r="J6" s="675" t="inlineStr">
        <is>
          <t>Pymes y micropymes del Bierzo
Autónomos y profesionales
Bodegas DO Bierzo y enoturismo
Alojamiento del Camino
Agencias y gestorías (prescriptores)</t>
        </is>
      </c>
      <c r="K6" s="613" t="n"/>
      <c r="L6" s="16" t="n"/>
      <c r="M6" s="16" t="n"/>
      <c r="N6" s="16" t="n"/>
      <c r="O6" s="16" t="n"/>
      <c r="P6" s="16" t="n"/>
      <c r="Q6" s="16" t="n"/>
      <c r="R6" s="16" t="n"/>
      <c r="S6" s="16" t="n"/>
      <c r="T6" s="16" t="n"/>
      <c r="U6" s="16" t="n"/>
      <c r="V6" s="16" t="n"/>
      <c r="W6" s="16" t="n"/>
      <c r="X6" s="16" t="n"/>
      <c r="Y6" s="16" t="n"/>
      <c r="Z6" s="16" t="n"/>
    </row>
    <row r="7" ht="12.75" customHeight="1" s="588">
      <c r="A7" s="612" t="n"/>
      <c r="B7" s="596" t="n"/>
      <c r="C7" s="595" t="n"/>
      <c r="D7" s="596" t="n"/>
      <c r="E7" s="595" t="n"/>
      <c r="G7" s="596" t="n"/>
      <c r="H7" s="595" t="n"/>
      <c r="I7" s="596" t="n"/>
      <c r="J7" s="595" t="n"/>
      <c r="K7" s="613" t="n"/>
      <c r="L7" s="16" t="n"/>
      <c r="M7" s="16" t="n"/>
      <c r="N7" s="16" t="n"/>
      <c r="O7" s="16" t="n"/>
      <c r="P7" s="16" t="n"/>
      <c r="Q7" s="16" t="n"/>
      <c r="R7" s="16" t="n"/>
      <c r="S7" s="16" t="n"/>
      <c r="T7" s="16" t="n"/>
      <c r="U7" s="16" t="n"/>
      <c r="V7" s="16" t="n"/>
      <c r="W7" s="16" t="n"/>
      <c r="X7" s="16" t="n"/>
      <c r="Y7" s="16" t="n"/>
      <c r="Z7" s="16" t="n"/>
    </row>
    <row r="8" ht="12.75" customHeight="1" s="588">
      <c r="A8" s="612" t="n"/>
      <c r="B8" s="596" t="n"/>
      <c r="C8" s="595" t="n"/>
      <c r="D8" s="596" t="n"/>
      <c r="E8" s="595" t="n"/>
      <c r="G8" s="596" t="n"/>
      <c r="H8" s="595" t="n"/>
      <c r="I8" s="596" t="n"/>
      <c r="J8" s="595" t="n"/>
      <c r="K8" s="613" t="n"/>
      <c r="L8" s="16" t="n"/>
      <c r="M8" s="16" t="n"/>
      <c r="N8" s="16" t="n"/>
      <c r="O8" s="16" t="n"/>
      <c r="P8" s="16" t="n"/>
      <c r="Q8" s="16" t="n"/>
      <c r="R8" s="16" t="n"/>
      <c r="S8" s="16" t="n"/>
      <c r="T8" s="16" t="n"/>
      <c r="U8" s="16" t="n"/>
      <c r="V8" s="16" t="n"/>
      <c r="W8" s="16" t="n"/>
      <c r="X8" s="16" t="n"/>
      <c r="Y8" s="16" t="n"/>
      <c r="Z8" s="16" t="n"/>
    </row>
    <row r="9" ht="12.75" customHeight="1" s="588">
      <c r="A9" s="612" t="n"/>
      <c r="B9" s="596" t="n"/>
      <c r="C9" s="595" t="n"/>
      <c r="D9" s="596" t="n"/>
      <c r="E9" s="595" t="n"/>
      <c r="G9" s="596" t="n"/>
      <c r="H9" s="595" t="n"/>
      <c r="I9" s="596" t="n"/>
      <c r="J9" s="595" t="n"/>
      <c r="K9" s="613" t="n"/>
      <c r="L9" s="16" t="n"/>
      <c r="M9" s="16" t="n"/>
      <c r="N9" s="16" t="n"/>
      <c r="O9" s="16" t="n"/>
      <c r="P9" s="16" t="n"/>
      <c r="Q9" s="16" t="n"/>
      <c r="R9" s="16" t="n"/>
      <c r="S9" s="16" t="n"/>
      <c r="T9" s="16" t="n"/>
      <c r="U9" s="16" t="n"/>
      <c r="V9" s="16" t="n"/>
      <c r="W9" s="16" t="n"/>
      <c r="X9" s="16" t="n"/>
      <c r="Y9" s="16" t="n"/>
      <c r="Z9" s="16" t="n"/>
    </row>
    <row r="10" ht="12.75" customHeight="1" s="588">
      <c r="A10" s="612" t="n"/>
      <c r="B10" s="596" t="n"/>
      <c r="C10" s="595" t="n"/>
      <c r="D10" s="596" t="n"/>
      <c r="E10" s="595" t="n"/>
      <c r="G10" s="596" t="n"/>
      <c r="H10" s="595" t="n"/>
      <c r="I10" s="596" t="n"/>
      <c r="J10" s="595" t="n"/>
      <c r="K10" s="613" t="n"/>
      <c r="L10" s="16" t="n"/>
      <c r="M10" s="16" t="n"/>
      <c r="N10" s="16" t="n"/>
      <c r="O10" s="16" t="n"/>
      <c r="P10" s="16" t="n"/>
      <c r="Q10" s="16" t="n"/>
      <c r="R10" s="16" t="n"/>
      <c r="S10" s="16" t="n"/>
      <c r="T10" s="16" t="n"/>
      <c r="U10" s="16" t="n"/>
      <c r="V10" s="16" t="n"/>
      <c r="W10" s="16" t="n"/>
      <c r="X10" s="16" t="n"/>
      <c r="Y10" s="16" t="n"/>
      <c r="Z10" s="16" t="n"/>
    </row>
    <row r="11" ht="12.75" customHeight="1" s="588">
      <c r="A11" s="612" t="n"/>
      <c r="B11" s="596" t="n"/>
      <c r="C11" s="595" t="n"/>
      <c r="D11" s="596" t="n"/>
      <c r="E11" s="595" t="n"/>
      <c r="G11" s="596" t="n"/>
      <c r="H11" s="595" t="n"/>
      <c r="I11" s="596" t="n"/>
      <c r="J11" s="595" t="n"/>
      <c r="K11" s="613" t="n"/>
      <c r="L11" s="16" t="n"/>
      <c r="M11" s="16" t="n"/>
      <c r="N11" s="16" t="n"/>
      <c r="O11" s="16" t="n"/>
      <c r="P11" s="16" t="n"/>
      <c r="Q11" s="16" t="n"/>
      <c r="R11" s="16" t="n"/>
      <c r="S11" s="16" t="n"/>
      <c r="T11" s="16" t="n"/>
      <c r="U11" s="16" t="n"/>
      <c r="V11" s="16" t="n"/>
      <c r="W11" s="16" t="n"/>
      <c r="X11" s="16" t="n"/>
      <c r="Y11" s="16" t="n"/>
      <c r="Z11" s="16" t="n"/>
    </row>
    <row r="12" ht="12.75" customHeight="1" s="588">
      <c r="A12" s="612" t="n"/>
      <c r="B12" s="596" t="n"/>
      <c r="C12" s="595" t="n"/>
      <c r="D12" s="596" t="n"/>
      <c r="E12" s="595" t="n"/>
      <c r="G12" s="596" t="n"/>
      <c r="H12" s="595" t="n"/>
      <c r="I12" s="596" t="n"/>
      <c r="J12" s="595" t="n"/>
      <c r="K12" s="613" t="n"/>
      <c r="L12" s="16" t="n"/>
      <c r="M12" s="16" t="n"/>
      <c r="N12" s="16" t="n"/>
      <c r="O12" s="16" t="n"/>
      <c r="P12" s="16" t="n"/>
      <c r="Q12" s="16" t="n"/>
      <c r="R12" s="16" t="n"/>
      <c r="S12" s="16" t="n"/>
      <c r="T12" s="16" t="n"/>
      <c r="U12" s="16" t="n"/>
      <c r="V12" s="16" t="n"/>
      <c r="W12" s="16" t="n"/>
      <c r="X12" s="16" t="n"/>
      <c r="Y12" s="16" t="n"/>
      <c r="Z12" s="16" t="n"/>
    </row>
    <row r="13" ht="12.75" customHeight="1" s="588">
      <c r="A13" s="612" t="n"/>
      <c r="B13" s="596" t="n"/>
      <c r="C13" s="595" t="n"/>
      <c r="D13" s="596" t="n"/>
      <c r="E13" s="595" t="n"/>
      <c r="G13" s="596" t="n"/>
      <c r="H13" s="595" t="n"/>
      <c r="I13" s="596" t="n"/>
      <c r="J13" s="595" t="n"/>
      <c r="K13" s="613" t="n"/>
      <c r="L13" s="16" t="n"/>
      <c r="M13" s="16" t="n"/>
      <c r="N13" s="16" t="n"/>
      <c r="O13" s="16" t="n"/>
      <c r="P13" s="16" t="n"/>
      <c r="Q13" s="16" t="n"/>
      <c r="R13" s="16" t="n"/>
      <c r="S13" s="16" t="n"/>
      <c r="T13" s="16" t="n"/>
      <c r="U13" s="16" t="n"/>
      <c r="V13" s="16" t="n"/>
      <c r="W13" s="16" t="n"/>
      <c r="X13" s="16" t="n"/>
      <c r="Y13" s="16" t="n"/>
      <c r="Z13" s="16" t="n"/>
    </row>
    <row r="14" ht="12.75" customHeight="1" s="588">
      <c r="A14" s="612" t="n"/>
      <c r="B14" s="596" t="n"/>
      <c r="C14" s="595" t="n"/>
      <c r="D14" s="596" t="n"/>
      <c r="E14" s="595" t="n"/>
      <c r="G14" s="596" t="n"/>
      <c r="H14" s="595" t="n"/>
      <c r="I14" s="596" t="n"/>
      <c r="J14" s="595" t="n"/>
      <c r="K14" s="613" t="n"/>
      <c r="L14" s="16" t="n"/>
      <c r="M14" s="16" t="n"/>
      <c r="N14" s="16" t="n"/>
      <c r="O14" s="16" t="n"/>
      <c r="P14" s="16" t="n"/>
      <c r="Q14" s="16" t="n"/>
      <c r="R14" s="16" t="n"/>
      <c r="S14" s="16" t="n"/>
      <c r="T14" s="16" t="n"/>
      <c r="U14" s="16" t="n"/>
      <c r="V14" s="16" t="n"/>
      <c r="W14" s="16" t="n"/>
      <c r="X14" s="16" t="n"/>
      <c r="Y14" s="16" t="n"/>
      <c r="Z14" s="16" t="n"/>
    </row>
    <row r="15" ht="12.75" customHeight="1" s="588">
      <c r="A15" s="612" t="n"/>
      <c r="B15" s="596" t="n"/>
      <c r="C15" s="595" t="n"/>
      <c r="D15" s="596" t="n"/>
      <c r="E15" s="595" t="n"/>
      <c r="G15" s="596" t="n"/>
      <c r="H15" s="595" t="n"/>
      <c r="I15" s="596" t="n"/>
      <c r="J15" s="595" t="n"/>
      <c r="K15" s="613" t="n"/>
      <c r="L15" s="16" t="n"/>
      <c r="M15" s="16" t="n"/>
      <c r="N15" s="16" t="n"/>
      <c r="O15" s="16" t="n"/>
      <c r="P15" s="16" t="n"/>
      <c r="Q15" s="16" t="n"/>
      <c r="R15" s="16" t="n"/>
      <c r="S15" s="16" t="n"/>
      <c r="T15" s="16" t="n"/>
      <c r="U15" s="16" t="n"/>
      <c r="V15" s="16" t="n"/>
      <c r="W15" s="16" t="n"/>
      <c r="X15" s="16" t="n"/>
      <c r="Y15" s="16" t="n"/>
      <c r="Z15" s="16" t="n"/>
    </row>
    <row r="16" ht="12.75" customHeight="1" s="588">
      <c r="A16" s="612" t="n"/>
      <c r="B16" s="596" t="n"/>
      <c r="C16" s="595" t="n"/>
      <c r="D16" s="596" t="n"/>
      <c r="E16" s="595" t="n"/>
      <c r="G16" s="596" t="n"/>
      <c r="H16" s="595" t="n"/>
      <c r="I16" s="596" t="n"/>
      <c r="J16" s="595" t="n"/>
      <c r="K16" s="613" t="n"/>
      <c r="L16" s="16" t="n"/>
      <c r="M16" s="16" t="n"/>
      <c r="N16" s="16" t="n"/>
      <c r="O16" s="16" t="n"/>
      <c r="P16" s="16" t="n"/>
      <c r="Q16" s="16" t="n"/>
      <c r="R16" s="16" t="n"/>
      <c r="S16" s="16" t="n"/>
      <c r="T16" s="16" t="n"/>
      <c r="U16" s="16" t="n"/>
      <c r="V16" s="16" t="n"/>
      <c r="W16" s="16" t="n"/>
      <c r="X16" s="16" t="n"/>
      <c r="Y16" s="16" t="n"/>
      <c r="Z16" s="16" t="n"/>
    </row>
    <row r="17" ht="12.75" customHeight="1" s="588">
      <c r="A17" s="612" t="n"/>
      <c r="B17" s="596" t="n"/>
      <c r="C17" s="676" t="inlineStr">
        <is>
          <t>Recursos Clave</t>
        </is>
      </c>
      <c r="D17" s="594" t="n"/>
      <c r="E17" s="595" t="n"/>
      <c r="G17" s="596" t="n"/>
      <c r="H17" s="676" t="inlineStr">
        <is>
          <t>Canales</t>
        </is>
      </c>
      <c r="I17" s="594" t="n"/>
      <c r="J17" s="595" t="n"/>
      <c r="K17" s="613" t="n"/>
      <c r="L17" s="16" t="n"/>
      <c r="M17" s="16" t="n"/>
      <c r="N17" s="16" t="n"/>
      <c r="O17" s="16" t="n"/>
      <c r="P17" s="16" t="n"/>
      <c r="Q17" s="16" t="n"/>
      <c r="R17" s="16" t="n"/>
      <c r="S17" s="16" t="n"/>
      <c r="T17" s="16" t="n"/>
      <c r="U17" s="16" t="n"/>
      <c r="V17" s="16" t="n"/>
      <c r="W17" s="16" t="n"/>
      <c r="X17" s="16" t="n"/>
      <c r="Y17" s="16" t="n"/>
      <c r="Z17" s="16" t="n"/>
    </row>
    <row r="18" ht="12.75" customHeight="1" s="588">
      <c r="A18" s="612" t="n"/>
      <c r="B18" s="596" t="n"/>
      <c r="C18" s="595" t="n"/>
      <c r="D18" s="596" t="n"/>
      <c r="E18" s="595" t="n"/>
      <c r="G18" s="596" t="n"/>
      <c r="H18" s="595" t="n"/>
      <c r="I18" s="596" t="n"/>
      <c r="J18" s="595" t="n"/>
      <c r="K18" s="613" t="n"/>
      <c r="L18" s="16" t="n"/>
      <c r="M18" s="16" t="n"/>
      <c r="N18" s="16" t="n"/>
      <c r="O18" s="16" t="n"/>
      <c r="P18" s="16" t="n"/>
      <c r="Q18" s="16" t="n"/>
      <c r="R18" s="16" t="n"/>
      <c r="S18" s="16" t="n"/>
      <c r="T18" s="16" t="n"/>
      <c r="U18" s="16" t="n"/>
      <c r="V18" s="16" t="n"/>
      <c r="W18" s="16" t="n"/>
      <c r="X18" s="16" t="n"/>
      <c r="Y18" s="16" t="n"/>
      <c r="Z18" s="16" t="n"/>
    </row>
    <row r="19" ht="12.75" customHeight="1" s="588">
      <c r="A19" s="612" t="n"/>
      <c r="B19" s="596" t="n"/>
      <c r="C19" s="673" t="inlineStr">
        <is>
          <t>Socia 1: producción y dirección técnica (dedicación completa)
Socio 2: dirección comercial (dedicación retribuida)
Red de freelances para picos de producción
Equipo informático y software
Dos puestos en coworking
Portfolio y casos locales publicados
Biblioteca propia de plantillas y procesos</t>
        </is>
      </c>
      <c r="D19" s="596" t="n"/>
      <c r="E19" s="595" t="n"/>
      <c r="G19" s="596" t="n"/>
      <c r="H19" s="673" t="inlineStr">
        <is>
          <t>Directo: venta presencial y telefónica en Ponferrada y comarca.
Prescriptores: gestorías, imprentas y agencias.
Digital: web propia, SEO local y ficha de Google Business.</t>
        </is>
      </c>
      <c r="I19" s="596" t="n"/>
      <c r="J19" s="595" t="n"/>
      <c r="K19" s="613" t="n"/>
      <c r="L19" s="16" t="n"/>
      <c r="M19" s="16" t="n"/>
      <c r="N19" s="16" t="n"/>
      <c r="O19" s="16" t="n"/>
      <c r="P19" s="16" t="n"/>
      <c r="Q19" s="16" t="n"/>
      <c r="R19" s="16" t="n"/>
      <c r="S19" s="16" t="n"/>
      <c r="T19" s="16" t="n"/>
      <c r="U19" s="16" t="n"/>
      <c r="V19" s="16" t="n"/>
      <c r="W19" s="16" t="n"/>
      <c r="X19" s="16" t="n"/>
      <c r="Y19" s="16" t="n"/>
      <c r="Z19" s="16" t="n"/>
    </row>
    <row r="20" ht="12.75" customHeight="1" s="588">
      <c r="A20" s="612" t="n"/>
      <c r="B20" s="596" t="n"/>
      <c r="C20" s="595" t="n"/>
      <c r="D20" s="596" t="n"/>
      <c r="E20" s="595" t="n"/>
      <c r="G20" s="596" t="n"/>
      <c r="H20" s="595" t="n"/>
      <c r="I20" s="596" t="n"/>
      <c r="J20" s="595" t="n"/>
      <c r="K20" s="613" t="n"/>
      <c r="L20" s="16" t="n"/>
      <c r="M20" s="16" t="n"/>
      <c r="N20" s="16" t="n"/>
      <c r="O20" s="16" t="n"/>
      <c r="P20" s="16" t="n"/>
      <c r="Q20" s="16" t="n"/>
      <c r="R20" s="16" t="n"/>
      <c r="S20" s="16" t="n"/>
      <c r="T20" s="16" t="n"/>
      <c r="U20" s="16" t="n"/>
      <c r="V20" s="16" t="n"/>
      <c r="W20" s="16" t="n"/>
      <c r="X20" s="16" t="n"/>
      <c r="Y20" s="16" t="n"/>
      <c r="Z20" s="16" t="n"/>
    </row>
    <row r="21" ht="12.75" customHeight="1" s="588">
      <c r="A21" s="612" t="n"/>
      <c r="B21" s="596" t="n"/>
      <c r="C21" s="595" t="n"/>
      <c r="D21" s="596" t="n"/>
      <c r="E21" s="595" t="n"/>
      <c r="G21" s="596" t="n"/>
      <c r="H21" s="595" t="n"/>
      <c r="I21" s="596" t="n"/>
      <c r="J21" s="595" t="n"/>
      <c r="K21" s="613" t="n"/>
      <c r="L21" s="16" t="n"/>
      <c r="M21" s="16" t="n"/>
      <c r="N21" s="16" t="n"/>
      <c r="O21" s="16" t="n"/>
      <c r="P21" s="16" t="n"/>
      <c r="Q21" s="16" t="n"/>
      <c r="R21" s="16" t="n"/>
      <c r="S21" s="16" t="n"/>
      <c r="T21" s="16" t="n"/>
      <c r="U21" s="16" t="n"/>
      <c r="V21" s="16" t="n"/>
      <c r="W21" s="16" t="n"/>
      <c r="X21" s="16" t="n"/>
      <c r="Y21" s="16" t="n"/>
      <c r="Z21" s="16" t="n"/>
    </row>
    <row r="22" ht="12.75" customHeight="1" s="588">
      <c r="A22" s="612" t="n"/>
      <c r="B22" s="596" t="n"/>
      <c r="C22" s="595" t="n"/>
      <c r="D22" s="596" t="n"/>
      <c r="E22" s="595" t="n"/>
      <c r="G22" s="596" t="n"/>
      <c r="H22" s="595" t="n"/>
      <c r="I22" s="596" t="n"/>
      <c r="J22" s="595" t="n"/>
      <c r="K22" s="613" t="n"/>
      <c r="L22" s="16" t="n"/>
      <c r="M22" s="16" t="n"/>
      <c r="N22" s="16" t="n"/>
      <c r="O22" s="16" t="n"/>
      <c r="P22" s="16" t="n"/>
      <c r="Q22" s="16" t="n"/>
      <c r="R22" s="16" t="n"/>
      <c r="S22" s="16" t="n"/>
      <c r="T22" s="16" t="n"/>
      <c r="U22" s="16" t="n"/>
      <c r="V22" s="16" t="n"/>
      <c r="W22" s="16" t="n"/>
      <c r="X22" s="16" t="n"/>
      <c r="Y22" s="16" t="n"/>
      <c r="Z22" s="16" t="n"/>
    </row>
    <row r="23" ht="12.75" customHeight="1" s="588">
      <c r="A23" s="612" t="n"/>
      <c r="B23" s="596" t="n"/>
      <c r="C23" s="595" t="n"/>
      <c r="D23" s="596" t="n"/>
      <c r="E23" s="595" t="n"/>
      <c r="G23" s="596" t="n"/>
      <c r="H23" s="595" t="n"/>
      <c r="I23" s="596" t="n"/>
      <c r="J23" s="595" t="n"/>
      <c r="K23" s="613" t="n"/>
      <c r="L23" s="16" t="n"/>
      <c r="M23" s="16" t="n"/>
      <c r="N23" s="16" t="n"/>
      <c r="O23" s="16" t="n"/>
      <c r="P23" s="16" t="n"/>
      <c r="Q23" s="16" t="n"/>
      <c r="R23" s="16" t="n"/>
      <c r="S23" s="16" t="n"/>
      <c r="T23" s="16" t="n"/>
      <c r="U23" s="16" t="n"/>
      <c r="V23" s="16" t="n"/>
      <c r="W23" s="16" t="n"/>
      <c r="X23" s="16" t="n"/>
      <c r="Y23" s="16" t="n"/>
      <c r="Z23" s="16" t="n"/>
    </row>
    <row r="24" ht="12.75" customHeight="1" s="588">
      <c r="A24" s="612" t="n"/>
      <c r="B24" s="596" t="n"/>
      <c r="C24" s="595" t="n"/>
      <c r="D24" s="596" t="n"/>
      <c r="E24" s="595" t="n"/>
      <c r="G24" s="596" t="n"/>
      <c r="H24" s="595" t="n"/>
      <c r="I24" s="596" t="n"/>
      <c r="J24" s="595" t="n"/>
      <c r="K24" s="613" t="n"/>
      <c r="L24" s="16" t="n"/>
      <c r="M24" s="16" t="n"/>
      <c r="N24" s="16" t="n"/>
      <c r="O24" s="16" t="n"/>
      <c r="P24" s="16" t="n"/>
      <c r="Q24" s="16" t="n"/>
      <c r="R24" s="16" t="n"/>
      <c r="S24" s="16" t="n"/>
      <c r="T24" s="16" t="n"/>
      <c r="U24" s="16" t="n"/>
      <c r="V24" s="16" t="n"/>
      <c r="W24" s="16" t="n"/>
      <c r="X24" s="16" t="n"/>
      <c r="Y24" s="16" t="n"/>
      <c r="Z24" s="16" t="n"/>
    </row>
    <row r="25" ht="12.75" customHeight="1" s="588">
      <c r="A25" s="612" t="n"/>
      <c r="B25" s="596" t="n"/>
      <c r="C25" s="595" t="n"/>
      <c r="D25" s="596" t="n"/>
      <c r="E25" s="595" t="n"/>
      <c r="G25" s="596" t="n"/>
      <c r="H25" s="595" t="n"/>
      <c r="I25" s="596" t="n"/>
      <c r="J25" s="595" t="n"/>
      <c r="K25" s="613" t="n"/>
      <c r="L25" s="16" t="n"/>
      <c r="M25" s="16" t="n"/>
      <c r="N25" s="16" t="n"/>
      <c r="O25" s="16" t="n"/>
      <c r="P25" s="16" t="n"/>
      <c r="Q25" s="16" t="n"/>
      <c r="R25" s="16" t="n"/>
      <c r="S25" s="16" t="n"/>
      <c r="T25" s="16" t="n"/>
      <c r="U25" s="16" t="n"/>
      <c r="V25" s="16" t="n"/>
      <c r="W25" s="16" t="n"/>
      <c r="X25" s="16" t="n"/>
      <c r="Y25" s="16" t="n"/>
      <c r="Z25" s="16" t="n"/>
    </row>
    <row r="26" ht="12.75" customHeight="1" s="588">
      <c r="A26" s="612" t="n"/>
      <c r="B26" s="596" t="n"/>
      <c r="C26" s="595" t="n"/>
      <c r="D26" s="596" t="n"/>
      <c r="E26" s="595" t="n"/>
      <c r="G26" s="596" t="n"/>
      <c r="H26" s="595" t="n"/>
      <c r="I26" s="596" t="n"/>
      <c r="J26" s="595" t="n"/>
      <c r="K26" s="613" t="n"/>
      <c r="L26" s="16" t="n"/>
      <c r="M26" s="16" t="n"/>
      <c r="N26" s="16" t="n"/>
      <c r="O26" s="16" t="n"/>
      <c r="P26" s="16" t="n"/>
      <c r="Q26" s="16" t="n"/>
      <c r="R26" s="16" t="n"/>
      <c r="S26" s="16" t="n"/>
      <c r="T26" s="16" t="n"/>
      <c r="U26" s="16" t="n"/>
      <c r="V26" s="16" t="n"/>
      <c r="W26" s="16" t="n"/>
      <c r="X26" s="16" t="n"/>
      <c r="Y26" s="16" t="n"/>
      <c r="Z26" s="16" t="n"/>
    </row>
    <row r="27" ht="12.75" customHeight="1" s="588">
      <c r="A27" s="612" t="n"/>
      <c r="B27" s="596" t="n"/>
      <c r="C27" s="595" t="n"/>
      <c r="D27" s="596" t="n"/>
      <c r="E27" s="595" t="n"/>
      <c r="G27" s="596" t="n"/>
      <c r="H27" s="595" t="n"/>
      <c r="I27" s="596" t="n"/>
      <c r="J27" s="595" t="n"/>
      <c r="K27" s="613" t="n"/>
      <c r="L27" s="16" t="n"/>
      <c r="M27" s="16" t="n"/>
      <c r="N27" s="16" t="n"/>
      <c r="O27" s="16" t="n"/>
      <c r="P27" s="16" t="n"/>
      <c r="Q27" s="16" t="n"/>
      <c r="R27" s="16" t="n"/>
      <c r="S27" s="16" t="n"/>
      <c r="T27" s="16" t="n"/>
      <c r="U27" s="16" t="n"/>
      <c r="V27" s="16" t="n"/>
      <c r="W27" s="16" t="n"/>
      <c r="X27" s="16" t="n"/>
      <c r="Y27" s="16" t="n"/>
      <c r="Z27" s="16" t="n"/>
    </row>
    <row r="28" ht="12.75" customHeight="1" s="588">
      <c r="A28" s="677" t="n"/>
      <c r="B28" s="599" t="n"/>
      <c r="C28" s="597" t="n"/>
      <c r="D28" s="599" t="n"/>
      <c r="E28" s="597" t="n"/>
      <c r="F28" s="598" t="n"/>
      <c r="G28" s="599" t="n"/>
      <c r="H28" s="597" t="n"/>
      <c r="I28" s="599" t="n"/>
      <c r="J28" s="597" t="n"/>
      <c r="K28" s="678" t="n"/>
      <c r="L28" s="16" t="n"/>
      <c r="M28" s="16" t="n"/>
      <c r="N28" s="16" t="n"/>
      <c r="O28" s="16" t="n"/>
      <c r="P28" s="16" t="n"/>
      <c r="Q28" s="16" t="n"/>
      <c r="R28" s="16" t="n"/>
      <c r="S28" s="16" t="n"/>
      <c r="T28" s="16" t="n"/>
      <c r="U28" s="16" t="n"/>
      <c r="V28" s="16" t="n"/>
      <c r="W28" s="16" t="n"/>
      <c r="X28" s="16" t="n"/>
      <c r="Y28" s="16" t="n"/>
      <c r="Z28" s="16" t="n"/>
    </row>
    <row r="29" ht="12.75" customHeight="1" s="588">
      <c r="A29" s="679" t="inlineStr">
        <is>
          <t>Estructura de Costes</t>
        </is>
      </c>
      <c r="B29" s="593" t="n"/>
      <c r="C29" s="593" t="n"/>
      <c r="D29" s="593" t="n"/>
      <c r="E29" s="593" t="n"/>
      <c r="F29" s="594" t="n"/>
      <c r="G29" s="680" t="inlineStr">
        <is>
          <t>Fuentes de Ingresos</t>
        </is>
      </c>
      <c r="H29" s="593" t="n"/>
      <c r="I29" s="593" t="n"/>
      <c r="J29" s="593" t="n"/>
      <c r="K29" s="681" t="n"/>
      <c r="L29" s="16" t="n"/>
      <c r="M29" s="16" t="n"/>
      <c r="N29" s="16" t="n"/>
      <c r="O29" s="16" t="n"/>
      <c r="P29" s="16" t="n"/>
      <c r="Q29" s="16" t="n"/>
      <c r="R29" s="16" t="n"/>
      <c r="S29" s="16" t="n"/>
      <c r="T29" s="16" t="n"/>
      <c r="U29" s="16" t="n"/>
      <c r="V29" s="16" t="n"/>
      <c r="W29" s="16" t="n"/>
      <c r="X29" s="16" t="n"/>
      <c r="Y29" s="16" t="n"/>
      <c r="Z29" s="16" t="n"/>
    </row>
    <row r="30" ht="12.75" customHeight="1" s="588">
      <c r="A30" s="612" t="n"/>
      <c r="F30" s="596" t="n"/>
      <c r="G30" s="595" t="n"/>
      <c r="K30" s="613" t="n"/>
      <c r="L30" s="16" t="n"/>
      <c r="M30" s="16" t="n"/>
      <c r="N30" s="16" t="n"/>
      <c r="O30" s="16" t="n"/>
      <c r="P30" s="16" t="n"/>
      <c r="Q30" s="16" t="n"/>
      <c r="R30" s="16" t="n"/>
      <c r="S30" s="16" t="n"/>
      <c r="T30" s="16" t="n"/>
      <c r="U30" s="16" t="n"/>
      <c r="V30" s="16" t="n"/>
      <c r="W30" s="16" t="n"/>
      <c r="X30" s="16" t="n"/>
      <c r="Y30" s="16" t="n"/>
      <c r="Z30" s="16" t="n"/>
    </row>
    <row r="31" ht="12.75" customHeight="1" s="588">
      <c r="A31" s="682" t="inlineStr">
        <is>
          <t>Retribución de los dos socios (72% de la estructura)
RETA societario de ambos (tarifa plana 80 EUR/mes el Año 1)
Licencias de software e IA
Dos puestos de coworking y conectividad
Asesoría de sociedad: contabilidad, IS y cuentas anuales
Publicidad y marketing local
Hosting y dominios
Desplazamientos por la comarca
Subcontratación variable de producción (va a coste de ventas)</t>
        </is>
      </c>
      <c r="F31" s="596" t="n"/>
      <c r="G31" s="683" t="inlineStr">
        <is>
          <t>NO RECURRENTE (72,5% Año 1)
Web esencial: 1.200 EUR
Web profesional / e-commerce: 3.500 EUR
Identidad visual y gráfico: 950 EUR
RECURRENTE (27,5% Año 1, objetivo 35% en Año 3)
Mantenimiento gestionado: 60 EUR/mes
SEO local: 250 EUR/mes</t>
        </is>
      </c>
      <c r="K31" s="613" t="n"/>
      <c r="L31" s="16" t="n"/>
      <c r="M31" s="16" t="n"/>
      <c r="N31" s="16" t="n"/>
      <c r="O31" s="16" t="n"/>
      <c r="P31" s="16" t="n"/>
      <c r="Q31" s="16" t="n"/>
      <c r="R31" s="16" t="n"/>
      <c r="S31" s="16" t="n"/>
      <c r="T31" s="16" t="n"/>
      <c r="U31" s="16" t="n"/>
      <c r="V31" s="16" t="n"/>
      <c r="W31" s="16" t="n"/>
      <c r="X31" s="16" t="n"/>
      <c r="Y31" s="16" t="n"/>
      <c r="Z31" s="16" t="n"/>
    </row>
    <row r="32" ht="12.75" customHeight="1" s="588">
      <c r="A32" s="612" t="n"/>
      <c r="F32" s="596" t="n"/>
      <c r="G32" s="595" t="n"/>
      <c r="K32" s="613" t="n"/>
      <c r="L32" s="16" t="n"/>
      <c r="M32" s="16" t="n"/>
      <c r="N32" s="16" t="n"/>
      <c r="O32" s="16" t="n"/>
      <c r="P32" s="16" t="n"/>
      <c r="Q32" s="16" t="n"/>
      <c r="R32" s="16" t="n"/>
      <c r="S32" s="16" t="n"/>
      <c r="T32" s="16" t="n"/>
      <c r="U32" s="16" t="n"/>
      <c r="V32" s="16" t="n"/>
      <c r="W32" s="16" t="n"/>
      <c r="X32" s="16" t="n"/>
      <c r="Y32" s="16" t="n"/>
      <c r="Z32" s="16" t="n"/>
    </row>
    <row r="33" ht="12.75" customHeight="1" s="588">
      <c r="A33" s="612" t="n"/>
      <c r="F33" s="596" t="n"/>
      <c r="G33" s="595" t="n"/>
      <c r="K33" s="613" t="n"/>
      <c r="L33" s="16" t="n"/>
      <c r="M33" s="16" t="n"/>
      <c r="N33" s="16" t="n"/>
      <c r="O33" s="16" t="n"/>
      <c r="P33" s="16" t="n"/>
      <c r="Q33" s="16" t="n"/>
      <c r="R33" s="16" t="n"/>
      <c r="S33" s="16" t="n"/>
      <c r="T33" s="16" t="n"/>
      <c r="U33" s="16" t="n"/>
      <c r="V33" s="16" t="n"/>
      <c r="W33" s="16" t="n"/>
      <c r="X33" s="16" t="n"/>
      <c r="Y33" s="16" t="n"/>
      <c r="Z33" s="16" t="n"/>
    </row>
    <row r="34" ht="12.75" customHeight="1" s="588">
      <c r="A34" s="612" t="n"/>
      <c r="F34" s="596" t="n"/>
      <c r="G34" s="595" t="n"/>
      <c r="K34" s="613" t="n"/>
      <c r="L34" s="16" t="n"/>
      <c r="M34" s="16" t="n"/>
      <c r="N34" s="16" t="n"/>
      <c r="O34" s="16" t="n"/>
      <c r="P34" s="16" t="n"/>
      <c r="Q34" s="16" t="n"/>
      <c r="R34" s="16" t="n"/>
      <c r="S34" s="16" t="n"/>
      <c r="T34" s="16" t="n"/>
      <c r="U34" s="16" t="n"/>
      <c r="V34" s="16" t="n"/>
      <c r="W34" s="16" t="n"/>
      <c r="X34" s="16" t="n"/>
      <c r="Y34" s="16" t="n"/>
      <c r="Z34" s="16" t="n"/>
    </row>
    <row r="35" ht="12.75" customHeight="1" s="588">
      <c r="A35" s="614" t="n"/>
      <c r="B35" s="615" t="n"/>
      <c r="C35" s="615" t="n"/>
      <c r="D35" s="615" t="n"/>
      <c r="E35" s="615" t="n"/>
      <c r="F35" s="684" t="n"/>
      <c r="G35" s="685" t="n"/>
      <c r="H35" s="615" t="n"/>
      <c r="I35" s="615" t="n"/>
      <c r="J35" s="615" t="n"/>
      <c r="K35" s="616" t="n"/>
      <c r="L35" s="16" t="n"/>
      <c r="M35" s="16" t="n"/>
      <c r="N35" s="16" t="n"/>
      <c r="O35" s="16" t="n"/>
      <c r="P35" s="16" t="n"/>
      <c r="Q35" s="16" t="n"/>
      <c r="R35" s="16" t="n"/>
      <c r="S35" s="16" t="n"/>
      <c r="T35" s="16" t="n"/>
      <c r="U35" s="16" t="n"/>
      <c r="V35" s="16" t="n"/>
      <c r="W35" s="16" t="n"/>
      <c r="X35" s="16" t="n"/>
      <c r="Y35" s="16" t="n"/>
      <c r="Z35" s="16" t="n"/>
    </row>
    <row r="36" ht="12.75" customHeight="1" s="588">
      <c r="A36" s="1" t="n"/>
      <c r="B36" s="1" t="n"/>
      <c r="C36" s="1" t="n"/>
      <c r="D36" s="1" t="n"/>
      <c r="E36" s="1" t="n"/>
      <c r="F36" s="1" t="n"/>
      <c r="G36" s="1" t="n"/>
      <c r="H36" s="1" t="n"/>
      <c r="I36" s="1" t="n"/>
      <c r="J36" s="1" t="n"/>
      <c r="K36" s="1" t="n"/>
      <c r="L36" s="16" t="n"/>
      <c r="M36" s="16" t="n"/>
      <c r="N36" s="16" t="n"/>
      <c r="O36" s="16" t="n"/>
      <c r="P36" s="16" t="n"/>
      <c r="Q36" s="16" t="n"/>
      <c r="R36" s="16" t="n"/>
      <c r="S36" s="16" t="n"/>
      <c r="T36" s="16" t="n"/>
      <c r="U36" s="16" t="n"/>
      <c r="V36" s="16" t="n"/>
      <c r="W36" s="16" t="n"/>
      <c r="X36" s="16" t="n"/>
      <c r="Y36" s="16" t="n"/>
      <c r="Z36" s="16" t="n"/>
    </row>
    <row r="37" ht="12.75" customHeight="1" s="588">
      <c r="A37" s="8" t="inlineStr">
        <is>
          <t>¿CÓMO?</t>
        </is>
      </c>
      <c r="B37" s="1" t="n"/>
      <c r="C37" s="1" t="n"/>
      <c r="D37" s="1" t="n"/>
      <c r="E37" s="1" t="n"/>
      <c r="F37" s="1" t="n"/>
      <c r="G37" s="1" t="n"/>
      <c r="H37" s="1" t="n"/>
      <c r="I37" s="1" t="n"/>
      <c r="J37" s="1" t="n"/>
      <c r="K37" s="185" t="inlineStr">
        <is>
          <t>Plan de Marketing y Comercialización</t>
        </is>
      </c>
    </row>
    <row r="38" ht="12.75" customHeight="1" s="588">
      <c r="A38" s="1" t="n"/>
      <c r="B38" s="1" t="n"/>
      <c r="C38" s="1" t="n"/>
      <c r="D38" s="1" t="n"/>
      <c r="E38" s="1" t="n"/>
      <c r="F38" s="1" t="n"/>
      <c r="G38" s="1" t="n"/>
      <c r="H38" s="1" t="n"/>
      <c r="I38" s="1" t="n"/>
      <c r="J38" s="1" t="n"/>
      <c r="K38" s="1" t="n"/>
    </row>
    <row r="39" ht="12.75" customHeight="1" s="588">
      <c r="A39" s="1" t="n"/>
      <c r="B39" s="1" t="n"/>
      <c r="C39" s="1" t="n"/>
      <c r="D39" s="1" t="n"/>
      <c r="E39" s="1" t="n"/>
      <c r="F39" s="1" t="n"/>
      <c r="G39" s="1" t="n"/>
      <c r="H39" s="1" t="n"/>
      <c r="I39" s="1" t="n"/>
      <c r="J39" s="1" t="n"/>
      <c r="K39" s="1" t="n"/>
      <c r="L39" s="16" t="n"/>
      <c r="M39" s="16" t="n"/>
      <c r="N39" s="16" t="n"/>
      <c r="O39" s="16" t="n"/>
      <c r="P39" s="16" t="n"/>
      <c r="Q39" s="16" t="n"/>
      <c r="R39" s="16" t="n"/>
      <c r="S39" s="16" t="n"/>
      <c r="T39" s="16" t="n"/>
      <c r="U39" s="16" t="n"/>
      <c r="V39" s="16" t="n"/>
      <c r="W39" s="16" t="n"/>
      <c r="X39" s="16" t="n"/>
      <c r="Y39" s="16" t="n"/>
      <c r="Z39" s="16" t="n"/>
    </row>
    <row r="40" ht="12.75" customHeight="1" s="588">
      <c r="A40" s="1" t="n"/>
      <c r="B40" s="1" t="n"/>
      <c r="C40" s="1" t="n"/>
      <c r="D40" s="1" t="n"/>
      <c r="E40" s="1" t="n"/>
      <c r="F40" s="130" t="inlineStr">
        <is>
          <t>Propuesta de Valor y su Comunicación</t>
        </is>
      </c>
      <c r="G40" s="1" t="n"/>
      <c r="H40" s="1" t="n"/>
      <c r="I40" s="1" t="n"/>
      <c r="J40" s="1" t="n"/>
      <c r="K40" s="1" t="n"/>
    </row>
    <row r="41" ht="12.75" customHeight="1" s="588">
      <c r="A41" s="1" t="n"/>
      <c r="B41" s="1" t="n"/>
      <c r="C41" s="1" t="n"/>
      <c r="D41" s="1" t="n"/>
      <c r="E41" s="1" t="n"/>
      <c r="F41" s="1" t="n"/>
      <c r="G41" s="1" t="n"/>
      <c r="H41" s="1" t="n"/>
      <c r="I41" s="1" t="n"/>
      <c r="J41" s="1" t="n"/>
      <c r="K41" s="1" t="n"/>
    </row>
    <row r="42" ht="12.75" customHeight="1" s="588">
      <c r="A42" s="686" t="inlineStr">
        <is>
          <t>PROPUESTA DE VALOR
"Tu presencia digital, funcionando todos los meses, con alguien de Ponferrada al otro lado del teléfono."
El posicionamiento no es el precio ni el diseño: es la CONTINUIDAD con proveedor cercano. En 2026 cualquiera puede generar una web bonita con IA en una tarde; casi nadie se hace responsable de que siga funcionando, posicionando y vendiendo dentro de un año.
QUE SE COMUNICA, POR SEGMENTO
- Pyme con web abandonada: "tu web no está rota, está sola. Nosotros nos ocupamos."
- Autónomo sin presupuesto: "empieza por 60 EUR al mes y crece cuando te entre trabajo."
- Bodega DO Bierzo: "vende tu vino directo, en tres idiomas, sin intermediario."
- Alojamiento del Camino: "cada reserva directa es un 18% que no le pagas a un portal."
- Prescriptor: "te resuelvo el encargo web sin tocar tu relación con el cliente."
ARGUMENTO FRENTE A LAS TRES OBJECIONES REALES
1. "Me lo hago con IA por 20 EUR/mes" -&gt; La herramienta es gratis; lo que se paga es saber que poner, que no aparezca en Google el nombre mal escrito, y que alguien lo arregle cuando falle un martes a las nueve.
2. "Ya me lo hizo uno del Kit Digital" -&gt; Perfecto: audito gratis en 15 minutos que ha pasado con el desde entonces.
3. "Es caro" -&gt; Comparar contra el coste de un mes sin teléfono sonando, no contra el precio de una plantilla.
CANALES DE COMUNICACIÓN
Prospección directa presencial (dos mañanas fijas por semana, no negociables), prescriptores, ficha de Google Business optimizada, contenido local en la web propia ("diseño web Ponferrada", "tienda online bodega Bierzo"), LinkedIn e Instagram con formato antes/después de proyectos reales, y presencia en Cámara de Comercio, CONFEBIERZO y el Centro de Innovación y Emprendimiento de Ponferrada.</t>
        </is>
      </c>
      <c r="B42" s="593" t="n"/>
      <c r="C42" s="593" t="n"/>
      <c r="D42" s="593" t="n"/>
      <c r="E42" s="593" t="n"/>
      <c r="F42" s="593" t="n"/>
      <c r="G42" s="593" t="n"/>
      <c r="H42" s="593" t="n"/>
      <c r="I42" s="593" t="n"/>
      <c r="J42" s="593" t="n"/>
      <c r="K42" s="594" t="n"/>
    </row>
    <row r="43" ht="12.75" customHeight="1" s="588">
      <c r="A43" s="595" t="n"/>
      <c r="K43" s="596" t="n"/>
    </row>
    <row r="44" ht="12.75" customHeight="1" s="588">
      <c r="A44" s="595" t="n"/>
      <c r="K44" s="596" t="n"/>
    </row>
    <row r="45" ht="12.75" customHeight="1" s="588">
      <c r="A45" s="595" t="n"/>
      <c r="K45" s="596" t="n"/>
    </row>
    <row r="46" ht="12.75" customHeight="1" s="588">
      <c r="A46" s="595" t="n"/>
      <c r="K46" s="596" t="n"/>
    </row>
    <row r="47" ht="12.75" customHeight="1" s="588">
      <c r="A47" s="595" t="n"/>
      <c r="K47" s="596" t="n"/>
    </row>
    <row r="48" ht="12.75" customHeight="1" s="588">
      <c r="A48" s="595" t="n"/>
      <c r="K48" s="596" t="n"/>
    </row>
    <row r="49" ht="12.75" customHeight="1" s="588">
      <c r="A49" s="595" t="n"/>
      <c r="K49" s="596" t="n"/>
    </row>
    <row r="50" ht="12.75" customHeight="1" s="588">
      <c r="A50" s="595" t="n"/>
      <c r="K50" s="596" t="n"/>
    </row>
    <row r="51" ht="12.75" customHeight="1" s="588">
      <c r="A51" s="595" t="n"/>
      <c r="K51" s="596" t="n"/>
    </row>
    <row r="52" ht="12.75" customHeight="1" s="588">
      <c r="A52" s="595" t="n"/>
      <c r="K52" s="596" t="n"/>
    </row>
    <row r="53" ht="12.75" customHeight="1" s="588">
      <c r="A53" s="595" t="n"/>
      <c r="K53" s="596" t="n"/>
    </row>
    <row r="54" ht="12.75" customHeight="1" s="588">
      <c r="A54" s="595" t="n"/>
      <c r="K54" s="596" t="n"/>
    </row>
    <row r="55" ht="12.75" customHeight="1" s="588">
      <c r="A55" s="595" t="n"/>
      <c r="K55" s="596" t="n"/>
    </row>
    <row r="56" ht="12.75" customHeight="1" s="588">
      <c r="A56" s="595" t="n"/>
      <c r="K56" s="596" t="n"/>
    </row>
    <row r="57" ht="12.75" customHeight="1" s="588">
      <c r="A57" s="595" t="n"/>
      <c r="K57" s="596" t="n"/>
    </row>
    <row r="58" ht="12.75" customHeight="1" s="588">
      <c r="A58" s="595" t="n"/>
      <c r="K58" s="596" t="n"/>
    </row>
    <row r="59" ht="12.75" customHeight="1" s="588">
      <c r="A59" s="595" t="n"/>
      <c r="K59" s="596" t="n"/>
    </row>
    <row r="60" ht="12.75" customHeight="1" s="588">
      <c r="A60" s="595" t="n"/>
      <c r="K60" s="596" t="n"/>
    </row>
    <row r="61" ht="12.75" customHeight="1" s="588">
      <c r="A61" s="595" t="n"/>
      <c r="K61" s="596" t="n"/>
    </row>
    <row r="62" ht="12.75" customHeight="1" s="588">
      <c r="A62" s="595" t="n"/>
      <c r="K62" s="596" t="n"/>
    </row>
    <row r="63" ht="12.75" customHeight="1" s="588">
      <c r="A63" s="595" t="n"/>
      <c r="K63" s="596" t="n"/>
    </row>
    <row r="64" ht="12.75" customHeight="1" s="588">
      <c r="A64" s="595" t="n"/>
      <c r="K64" s="596" t="n"/>
    </row>
    <row r="65" ht="12.75" customHeight="1" s="588">
      <c r="A65" s="595" t="n"/>
      <c r="K65" s="596" t="n"/>
    </row>
    <row r="66" ht="12.75" customHeight="1" s="588">
      <c r="A66" s="595" t="n"/>
      <c r="K66" s="596" t="n"/>
    </row>
    <row r="67" ht="12.75" customHeight="1" s="588">
      <c r="A67" s="595" t="n"/>
      <c r="K67" s="596" t="n"/>
    </row>
    <row r="68" ht="12.75" customHeight="1" s="588">
      <c r="A68" s="595" t="n"/>
      <c r="K68" s="596" t="n"/>
    </row>
    <row r="69" ht="12.75" customHeight="1" s="588">
      <c r="A69" s="595" t="n"/>
      <c r="K69" s="596" t="n"/>
    </row>
    <row r="70" ht="12.75" customHeight="1" s="588">
      <c r="A70" s="595" t="n"/>
      <c r="K70" s="596" t="n"/>
    </row>
    <row r="71" ht="12.75" customHeight="1" s="588">
      <c r="A71" s="597" t="n"/>
      <c r="B71" s="598" t="n"/>
      <c r="C71" s="598" t="n"/>
      <c r="D71" s="598" t="n"/>
      <c r="E71" s="598" t="n"/>
      <c r="F71" s="598" t="n"/>
      <c r="G71" s="598" t="n"/>
      <c r="H71" s="598" t="n"/>
      <c r="I71" s="598" t="n"/>
      <c r="J71" s="598" t="n"/>
      <c r="K71" s="599" t="n"/>
    </row>
    <row r="72" ht="12.75" customHeight="1" s="588">
      <c r="A72" s="1" t="n"/>
      <c r="B72" s="1" t="n"/>
      <c r="C72" s="1" t="n"/>
      <c r="D72" s="1" t="n"/>
      <c r="E72" s="1" t="n"/>
      <c r="F72" s="1" t="n"/>
      <c r="G72" s="1" t="n"/>
      <c r="H72" s="1" t="n"/>
      <c r="I72" s="1" t="n"/>
      <c r="J72" s="1" t="n"/>
      <c r="K72" s="1" t="n"/>
    </row>
    <row r="73" ht="12.75" customHeight="1" s="588">
      <c r="A73" s="8" t="inlineStr">
        <is>
          <t>¿CÓMO?</t>
        </is>
      </c>
      <c r="B73" s="1" t="n"/>
      <c r="C73" s="1" t="n"/>
      <c r="D73" s="1" t="n"/>
      <c r="E73" s="1" t="n"/>
      <c r="F73" s="1" t="n"/>
      <c r="G73" s="1" t="n"/>
      <c r="H73" s="1" t="n"/>
      <c r="I73" s="1" t="n"/>
      <c r="J73" s="1" t="n"/>
      <c r="K73" s="185" t="inlineStr">
        <is>
          <t>Plan de Marketing y Comercialización</t>
        </is>
      </c>
    </row>
    <row r="74" ht="12.75" customHeight="1" s="588">
      <c r="A74" s="1" t="n"/>
      <c r="B74" s="1" t="n"/>
      <c r="C74" s="1" t="n"/>
      <c r="D74" s="1" t="n"/>
      <c r="E74" s="1" t="n"/>
      <c r="F74" s="1" t="n"/>
      <c r="G74" s="1" t="n"/>
      <c r="H74" s="1" t="n"/>
      <c r="I74" s="1" t="n"/>
      <c r="J74" s="1" t="n"/>
      <c r="K74" s="1" t="n"/>
    </row>
    <row r="75" ht="12.75" customHeight="1" s="588">
      <c r="A75" s="1" t="n"/>
      <c r="B75" s="1" t="n"/>
      <c r="C75" s="1" t="n"/>
      <c r="D75" s="1" t="n"/>
      <c r="E75" s="1" t="n"/>
      <c r="F75" s="1" t="n"/>
      <c r="G75" s="1" t="n"/>
      <c r="H75" s="1" t="n"/>
      <c r="I75" s="1" t="n"/>
      <c r="J75" s="1" t="n"/>
      <c r="K75" s="1" t="n"/>
      <c r="L75" s="16" t="n"/>
      <c r="M75" s="16" t="n"/>
      <c r="N75" s="16" t="n"/>
      <c r="O75" s="16" t="n"/>
      <c r="P75" s="16" t="n"/>
      <c r="Q75" s="16" t="n"/>
      <c r="R75" s="16" t="n"/>
      <c r="S75" s="16" t="n"/>
      <c r="T75" s="16" t="n"/>
      <c r="U75" s="16" t="n"/>
      <c r="V75" s="16" t="n"/>
      <c r="W75" s="16" t="n"/>
      <c r="X75" s="16" t="n"/>
      <c r="Y75" s="16" t="n"/>
      <c r="Z75" s="16" t="n"/>
    </row>
    <row r="76" ht="12.75" customHeight="1" s="588">
      <c r="A76" s="1" t="n"/>
      <c r="B76" s="1" t="n"/>
      <c r="C76" s="44" t="inlineStr">
        <is>
          <t>Precio de Venta</t>
        </is>
      </c>
      <c r="E76" s="44" t="inlineStr">
        <is>
          <t>Coste</t>
        </is>
      </c>
      <c r="G76" s="44" t="inlineStr">
        <is>
          <t>Margen Absoluto</t>
        </is>
      </c>
      <c r="I76" s="44" t="inlineStr">
        <is>
          <t>Margen s/Venta</t>
        </is>
      </c>
      <c r="K76" s="1" t="n"/>
    </row>
    <row r="77" ht="12.75" customHeight="1" s="588">
      <c r="A77" s="1" t="n"/>
      <c r="B77" s="1" t="n"/>
      <c r="C77" s="1" t="n"/>
      <c r="D77" s="1" t="n"/>
      <c r="E77" s="1" t="n"/>
      <c r="F77" s="1" t="n"/>
      <c r="G77" s="1" t="n"/>
      <c r="H77" s="1" t="n"/>
      <c r="I77" s="1" t="n"/>
      <c r="J77" s="1" t="n"/>
      <c r="K77" s="1" t="n"/>
    </row>
    <row r="78" ht="12.75" customHeight="1" s="588">
      <c r="A78" s="687">
        <f>'EL QUÉ'!A8</f>
        <v/>
      </c>
      <c r="C78" s="688" t="n">
        <v>1200</v>
      </c>
      <c r="D78" s="594" t="n"/>
      <c r="E78" s="688" t="n">
        <v>150</v>
      </c>
      <c r="F78" s="594" t="n"/>
      <c r="G78" s="689">
        <f>C78-E78</f>
        <v/>
      </c>
      <c r="H78" s="594" t="n"/>
      <c r="I78" s="690">
        <f>IF(C78="","",G78/C78)</f>
        <v/>
      </c>
      <c r="J78" s="594" t="n"/>
      <c r="K78" s="1" t="n"/>
    </row>
    <row r="79" ht="12.75" customHeight="1" s="588">
      <c r="C79" s="595" t="n"/>
      <c r="D79" s="596" t="n"/>
      <c r="E79" s="595" t="n"/>
      <c r="F79" s="596" t="n"/>
      <c r="G79" s="595" t="n"/>
      <c r="H79" s="596" t="n"/>
      <c r="I79" s="595" t="n"/>
      <c r="J79" s="596" t="n"/>
      <c r="K79" s="1" t="n"/>
    </row>
    <row r="80" ht="12.75" customHeight="1" s="588">
      <c r="C80" s="595" t="n"/>
      <c r="D80" s="596" t="n"/>
      <c r="E80" s="595" t="n"/>
      <c r="F80" s="596" t="n"/>
      <c r="G80" s="595" t="n"/>
      <c r="H80" s="596" t="n"/>
      <c r="I80" s="595" t="n"/>
      <c r="J80" s="596" t="n"/>
      <c r="K80" s="1" t="n"/>
    </row>
    <row r="81" ht="12.75" customHeight="1" s="588">
      <c r="C81" s="597" t="n"/>
      <c r="D81" s="599" t="n"/>
      <c r="E81" s="597" t="n"/>
      <c r="F81" s="599" t="n"/>
      <c r="G81" s="597" t="n"/>
      <c r="H81" s="599" t="n"/>
      <c r="I81" s="597" t="n"/>
      <c r="J81" s="599" t="n"/>
      <c r="K81" s="1" t="n"/>
    </row>
    <row r="82" ht="12.75" customHeight="1" s="588">
      <c r="A82" s="214" t="n"/>
      <c r="B82" s="214" t="n"/>
      <c r="C82" s="215" t="n"/>
      <c r="D82" s="215" t="n"/>
      <c r="E82" s="215" t="n"/>
      <c r="F82" s="215" t="n"/>
      <c r="G82" s="215" t="n"/>
      <c r="H82" s="215" t="n"/>
      <c r="I82" s="1" t="n"/>
      <c r="J82" s="1" t="n"/>
      <c r="K82" s="1" t="n"/>
    </row>
    <row r="83" ht="12.75" customHeight="1" s="588">
      <c r="A83" s="691">
        <f>IF('EL QUÉ'!A13="","",'EL QUÉ'!A13)</f>
        <v/>
      </c>
      <c r="B83" s="596" t="n"/>
      <c r="C83" s="688" t="n">
        <v>3500</v>
      </c>
      <c r="D83" s="594" t="n"/>
      <c r="E83" s="688" t="n">
        <v>600</v>
      </c>
      <c r="F83" s="594" t="n"/>
      <c r="G83" s="689">
        <f>C83-E83</f>
        <v/>
      </c>
      <c r="H83" s="594" t="n"/>
      <c r="I83" s="690">
        <f>IF(C83="","",G83/C83)</f>
        <v/>
      </c>
      <c r="J83" s="594" t="n"/>
      <c r="K83" s="1" t="n"/>
    </row>
    <row r="84" ht="12.75" customHeight="1" s="588">
      <c r="B84" s="596" t="n"/>
      <c r="C84" s="595" t="n"/>
      <c r="D84" s="596" t="n"/>
      <c r="E84" s="595" t="n"/>
      <c r="F84" s="596" t="n"/>
      <c r="G84" s="595" t="n"/>
      <c r="H84" s="596" t="n"/>
      <c r="I84" s="595" t="n"/>
      <c r="J84" s="596" t="n"/>
      <c r="K84" s="1" t="n"/>
    </row>
    <row r="85" ht="12.75" customHeight="1" s="588">
      <c r="B85" s="596" t="n"/>
      <c r="C85" s="595" t="n"/>
      <c r="D85" s="596" t="n"/>
      <c r="E85" s="595" t="n"/>
      <c r="F85" s="596" t="n"/>
      <c r="G85" s="595" t="n"/>
      <c r="H85" s="596" t="n"/>
      <c r="I85" s="595" t="n"/>
      <c r="J85" s="596" t="n"/>
      <c r="K85" s="1" t="n"/>
    </row>
    <row r="86" ht="12.75" customHeight="1" s="588">
      <c r="B86" s="596" t="n"/>
      <c r="C86" s="597" t="n"/>
      <c r="D86" s="599" t="n"/>
      <c r="E86" s="597" t="n"/>
      <c r="F86" s="599" t="n"/>
      <c r="G86" s="597" t="n"/>
      <c r="H86" s="599" t="n"/>
      <c r="I86" s="597" t="n"/>
      <c r="J86" s="599" t="n"/>
      <c r="K86" s="1" t="n"/>
    </row>
    <row r="87" ht="12.75" customHeight="1" s="588">
      <c r="A87" s="214" t="n"/>
      <c r="B87" s="214" t="n"/>
      <c r="C87" s="215" t="n"/>
      <c r="D87" s="215" t="n"/>
      <c r="E87" s="215" t="n"/>
      <c r="F87" s="215" t="n"/>
      <c r="G87" s="215" t="n"/>
      <c r="H87" s="215" t="n"/>
      <c r="I87" s="1" t="n"/>
      <c r="J87" s="1" t="n"/>
      <c r="K87" s="1" t="n"/>
    </row>
    <row r="88" ht="12.75" customHeight="1" s="588">
      <c r="A88" s="691">
        <f>IF('EL QUÉ'!A18="","",'EL QUÉ'!A18)</f>
        <v/>
      </c>
      <c r="B88" s="596" t="n"/>
      <c r="C88" s="688" t="n">
        <v>950</v>
      </c>
      <c r="D88" s="594" t="n"/>
      <c r="E88" s="688" t="n">
        <v>60</v>
      </c>
      <c r="F88" s="594" t="n"/>
      <c r="G88" s="689">
        <f>C88-E88</f>
        <v/>
      </c>
      <c r="H88" s="594" t="n"/>
      <c r="I88" s="690">
        <f>IF(C88="","",G88/C88)</f>
        <v/>
      </c>
      <c r="J88" s="594" t="n"/>
      <c r="K88" s="1" t="n"/>
    </row>
    <row r="89" ht="12.75" customHeight="1" s="588">
      <c r="B89" s="596" t="n"/>
      <c r="C89" s="595" t="n"/>
      <c r="D89" s="596" t="n"/>
      <c r="E89" s="595" t="n"/>
      <c r="F89" s="596" t="n"/>
      <c r="G89" s="595" t="n"/>
      <c r="H89" s="596" t="n"/>
      <c r="I89" s="595" t="n"/>
      <c r="J89" s="596" t="n"/>
      <c r="K89" s="1" t="n"/>
    </row>
    <row r="90" ht="12.75" customHeight="1" s="588">
      <c r="B90" s="596" t="n"/>
      <c r="C90" s="595" t="n"/>
      <c r="D90" s="596" t="n"/>
      <c r="E90" s="595" t="n"/>
      <c r="F90" s="596" t="n"/>
      <c r="G90" s="595" t="n"/>
      <c r="H90" s="596" t="n"/>
      <c r="I90" s="595" t="n"/>
      <c r="J90" s="596" t="n"/>
      <c r="K90" s="1" t="n"/>
    </row>
    <row r="91" ht="12.75" customHeight="1" s="588">
      <c r="B91" s="596" t="n"/>
      <c r="C91" s="597" t="n"/>
      <c r="D91" s="599" t="n"/>
      <c r="E91" s="597" t="n"/>
      <c r="F91" s="599" t="n"/>
      <c r="G91" s="597" t="n"/>
      <c r="H91" s="599" t="n"/>
      <c r="I91" s="597" t="n"/>
      <c r="J91" s="599" t="n"/>
      <c r="K91" s="1" t="n"/>
    </row>
    <row r="92" ht="12.75" customHeight="1" s="588">
      <c r="A92" s="214" t="n"/>
      <c r="B92" s="214" t="n"/>
      <c r="C92" s="215" t="n"/>
      <c r="D92" s="215" t="n"/>
      <c r="E92" s="215" t="n"/>
      <c r="F92" s="215" t="n"/>
      <c r="G92" s="215" t="n"/>
      <c r="H92" s="215" t="n"/>
      <c r="I92" s="1" t="n"/>
      <c r="J92" s="1" t="n"/>
      <c r="K92" s="1" t="n"/>
    </row>
    <row r="93" ht="12.75" customHeight="1" s="588">
      <c r="A93" s="691">
        <f>IF('EL QUÉ'!A23="","",'EL QUÉ'!A23)</f>
        <v/>
      </c>
      <c r="B93" s="596" t="n"/>
      <c r="C93" s="688" t="n">
        <v>720</v>
      </c>
      <c r="D93" s="594" t="n"/>
      <c r="E93" s="688" t="n">
        <v>180</v>
      </c>
      <c r="F93" s="594" t="n"/>
      <c r="G93" s="689">
        <f>C93-E93</f>
        <v/>
      </c>
      <c r="H93" s="594" t="n"/>
      <c r="I93" s="690">
        <f>IF(C93="","",G93/C93)</f>
        <v/>
      </c>
      <c r="J93" s="594" t="n"/>
      <c r="K93" s="1" t="n"/>
    </row>
    <row r="94" ht="12.75" customHeight="1" s="588">
      <c r="B94" s="596" t="n"/>
      <c r="C94" s="595" t="n"/>
      <c r="D94" s="596" t="n"/>
      <c r="E94" s="595" t="n"/>
      <c r="F94" s="596" t="n"/>
      <c r="G94" s="595" t="n"/>
      <c r="H94" s="596" t="n"/>
      <c r="I94" s="595" t="n"/>
      <c r="J94" s="596" t="n"/>
      <c r="K94" s="1" t="n"/>
    </row>
    <row r="95" ht="12.75" customHeight="1" s="588">
      <c r="B95" s="596" t="n"/>
      <c r="C95" s="595" t="n"/>
      <c r="D95" s="596" t="n"/>
      <c r="E95" s="595" t="n"/>
      <c r="F95" s="596" t="n"/>
      <c r="G95" s="595" t="n"/>
      <c r="H95" s="596" t="n"/>
      <c r="I95" s="595" t="n"/>
      <c r="J95" s="596" t="n"/>
      <c r="K95" s="1" t="n"/>
    </row>
    <row r="96" ht="12.75" customHeight="1" s="588">
      <c r="B96" s="596" t="n"/>
      <c r="C96" s="597" t="n"/>
      <c r="D96" s="599" t="n"/>
      <c r="E96" s="597" t="n"/>
      <c r="F96" s="599" t="n"/>
      <c r="G96" s="597" t="n"/>
      <c r="H96" s="599" t="n"/>
      <c r="I96" s="597" t="n"/>
      <c r="J96" s="599" t="n"/>
      <c r="K96" s="1" t="n"/>
    </row>
    <row r="97" ht="12.75" customHeight="1" s="588">
      <c r="A97" s="214" t="n"/>
      <c r="B97" s="214" t="n"/>
      <c r="C97" s="215" t="n"/>
      <c r="D97" s="215" t="n"/>
      <c r="E97" s="215" t="n"/>
      <c r="F97" s="215" t="n"/>
      <c r="G97" s="215" t="n"/>
      <c r="H97" s="215" t="n"/>
      <c r="I97" s="1" t="n"/>
      <c r="J97" s="1" t="n"/>
      <c r="K97" s="1" t="n"/>
    </row>
    <row r="98" ht="12.75" customHeight="1" s="588">
      <c r="A98" s="691" t="n"/>
      <c r="B98" s="596" t="n"/>
      <c r="C98" s="688" t="n">
        <v>3000</v>
      </c>
      <c r="D98" s="594" t="n"/>
      <c r="E98" s="688" t="n">
        <v>480</v>
      </c>
      <c r="F98" s="594" t="n"/>
      <c r="G98" s="689">
        <f>C98-E98</f>
        <v/>
      </c>
      <c r="H98" s="594" t="n"/>
      <c r="I98" s="690">
        <f>IF(C98="","",G98/C98)</f>
        <v/>
      </c>
      <c r="J98" s="594" t="n"/>
      <c r="K98" s="1" t="n"/>
    </row>
    <row r="99" ht="12.75" customHeight="1" s="588">
      <c r="B99" s="596" t="n"/>
      <c r="C99" s="595" t="n"/>
      <c r="D99" s="596" t="n"/>
      <c r="E99" s="595" t="n"/>
      <c r="F99" s="596" t="n"/>
      <c r="G99" s="595" t="n"/>
      <c r="H99" s="596" t="n"/>
      <c r="I99" s="595" t="n"/>
      <c r="J99" s="596" t="n"/>
      <c r="K99" s="1" t="n"/>
    </row>
    <row r="100" ht="12.75" customHeight="1" s="588">
      <c r="B100" s="596" t="n"/>
      <c r="C100" s="595" t="n"/>
      <c r="D100" s="596" t="n"/>
      <c r="E100" s="595" t="n"/>
      <c r="F100" s="596" t="n"/>
      <c r="G100" s="595" t="n"/>
      <c r="H100" s="596" t="n"/>
      <c r="I100" s="595" t="n"/>
      <c r="J100" s="596" t="n"/>
      <c r="K100" s="1" t="n"/>
    </row>
    <row r="101" ht="12.75" customHeight="1" s="588">
      <c r="B101" s="596" t="n"/>
      <c r="C101" s="597" t="n"/>
      <c r="D101" s="599" t="n"/>
      <c r="E101" s="597" t="n"/>
      <c r="F101" s="599" t="n"/>
      <c r="G101" s="597" t="n"/>
      <c r="H101" s="599" t="n"/>
      <c r="I101" s="597" t="n"/>
      <c r="J101" s="599" t="n"/>
      <c r="K101" s="1" t="n"/>
    </row>
    <row r="102" ht="12.75" customHeight="1" s="588">
      <c r="A102" s="1" t="n"/>
      <c r="B102" s="1" t="n"/>
      <c r="C102" s="1" t="n"/>
      <c r="D102" s="1" t="n"/>
      <c r="E102" s="1" t="n"/>
      <c r="F102" s="1" t="n"/>
      <c r="G102" s="1" t="n"/>
      <c r="H102" s="1" t="n"/>
      <c r="I102" s="1" t="n"/>
      <c r="J102" s="1" t="n"/>
      <c r="K102" s="1" t="n"/>
    </row>
    <row r="103" ht="12.75" customHeight="1" s="588">
      <c r="A103" s="1" t="n"/>
      <c r="B103" s="1" t="n"/>
      <c r="C103" s="1" t="n"/>
      <c r="D103" s="1" t="n"/>
      <c r="E103" s="1" t="n"/>
      <c r="F103" s="1" t="n"/>
      <c r="G103" s="1" t="n"/>
      <c r="H103" s="1" t="n"/>
      <c r="I103" s="1" t="n"/>
      <c r="J103" s="1" t="n"/>
      <c r="K103" s="1" t="n"/>
    </row>
    <row r="104" ht="12.75" customHeight="1" s="588">
      <c r="A104" s="1" t="n"/>
      <c r="B104" s="1" t="n"/>
      <c r="C104" s="1" t="n"/>
      <c r="D104" s="1" t="n"/>
      <c r="E104" s="1" t="n"/>
      <c r="F104" s="1" t="n"/>
      <c r="G104" s="1" t="n"/>
      <c r="H104" s="1" t="n"/>
      <c r="I104" s="1" t="n"/>
      <c r="J104" s="1" t="n"/>
      <c r="K104" s="1" t="n"/>
    </row>
    <row r="105" ht="12.75" customHeight="1" s="588">
      <c r="A105" s="1" t="n"/>
      <c r="B105" s="1" t="n"/>
      <c r="C105" s="1" t="n"/>
      <c r="D105" s="1" t="n"/>
      <c r="E105" s="1" t="n"/>
      <c r="F105" s="1" t="n"/>
      <c r="G105" s="1" t="n"/>
      <c r="H105" s="1" t="n"/>
      <c r="I105" s="1" t="n"/>
      <c r="J105" s="1" t="n"/>
      <c r="K105" s="1" t="n"/>
    </row>
    <row r="106" ht="12.75" customHeight="1" s="588">
      <c r="A106" s="1" t="n"/>
      <c r="B106" s="1" t="n"/>
      <c r="C106" s="1" t="n"/>
      <c r="D106" s="1" t="n"/>
      <c r="E106" s="1" t="n"/>
      <c r="F106" s="1" t="n"/>
      <c r="G106" s="1" t="n"/>
      <c r="H106" s="1" t="n"/>
      <c r="I106" s="1" t="n"/>
      <c r="J106" s="1" t="n"/>
      <c r="K106" s="1" t="n"/>
    </row>
    <row r="107" ht="12.75" customHeight="1" s="588">
      <c r="A107" s="1" t="n"/>
      <c r="B107" s="1" t="n"/>
      <c r="C107" s="1" t="n"/>
      <c r="D107" s="1" t="n"/>
      <c r="E107" s="1" t="n"/>
      <c r="F107" s="1" t="n"/>
      <c r="G107" s="1" t="n"/>
      <c r="H107" s="1" t="n"/>
      <c r="I107" s="1" t="n"/>
      <c r="J107" s="1" t="n"/>
      <c r="K107" s="1" t="n"/>
    </row>
    <row r="108" ht="12.75" customHeight="1" s="588">
      <c r="A108" s="1" t="n"/>
      <c r="B108" s="1" t="n"/>
      <c r="C108" s="1" t="n"/>
      <c r="D108" s="1" t="n"/>
      <c r="E108" s="1" t="n"/>
      <c r="F108" s="1" t="n"/>
      <c r="G108" s="1" t="n"/>
      <c r="H108" s="1" t="n"/>
      <c r="I108" s="1" t="n"/>
      <c r="J108" s="1" t="n"/>
      <c r="K108" s="1" t="n"/>
    </row>
    <row r="109" ht="12.75" customHeight="1" s="588">
      <c r="A109" s="8" t="inlineStr">
        <is>
          <t>¿CÓMO?</t>
        </is>
      </c>
      <c r="B109" s="1" t="n"/>
      <c r="C109" s="1" t="n"/>
      <c r="D109" s="1" t="n"/>
      <c r="E109" s="1" t="n"/>
      <c r="F109" s="1" t="n"/>
      <c r="G109" s="1" t="n"/>
      <c r="H109" s="1" t="n"/>
      <c r="I109" s="1" t="n"/>
      <c r="J109" s="1" t="n"/>
      <c r="K109" s="185" t="inlineStr">
        <is>
          <t>Plan de Marketing y Comercialización</t>
        </is>
      </c>
    </row>
    <row r="110" ht="12.75" customHeight="1" s="588">
      <c r="A110" s="1" t="n"/>
      <c r="B110" s="1" t="n"/>
      <c r="C110" s="1" t="n"/>
      <c r="D110" s="1" t="n"/>
      <c r="E110" s="1" t="n"/>
      <c r="F110" s="1" t="n"/>
      <c r="G110" s="1" t="n"/>
      <c r="H110" s="1" t="n"/>
      <c r="I110" s="1" t="n"/>
      <c r="J110" s="1" t="n"/>
      <c r="K110" s="1" t="n"/>
    </row>
    <row r="111" ht="12.75" customHeight="1" s="588">
      <c r="A111" s="1" t="n"/>
      <c r="B111" s="1" t="n"/>
      <c r="C111" s="1" t="n"/>
      <c r="D111" s="1" t="n"/>
      <c r="E111" s="1" t="n"/>
      <c r="F111" s="1" t="n"/>
      <c r="G111" s="1" t="n"/>
      <c r="H111" s="1" t="n"/>
      <c r="I111" s="1" t="n"/>
      <c r="J111" s="1" t="n"/>
      <c r="K111" s="1" t="n"/>
      <c r="L111" s="16" t="n"/>
      <c r="M111" s="16" t="n"/>
      <c r="N111" s="16" t="n"/>
      <c r="O111" s="16" t="n"/>
      <c r="P111" s="16" t="n"/>
      <c r="Q111" s="16" t="n"/>
      <c r="R111" s="16" t="n"/>
      <c r="S111" s="16" t="n"/>
      <c r="T111" s="16" t="n"/>
      <c r="U111" s="16" t="n"/>
      <c r="V111" s="16" t="n"/>
      <c r="W111" s="16" t="n"/>
      <c r="X111" s="16" t="n"/>
      <c r="Y111" s="16" t="n"/>
      <c r="Z111" s="16" t="n"/>
    </row>
    <row r="112" ht="12.75" customHeight="1" s="588">
      <c r="A112" s="1" t="n"/>
      <c r="B112" s="1" t="n"/>
      <c r="C112" s="1" t="n"/>
      <c r="D112" s="1" t="n"/>
      <c r="E112" s="1" t="n"/>
      <c r="F112" s="130" t="inlineStr">
        <is>
          <t>Canales de Comercialización</t>
        </is>
      </c>
      <c r="G112" s="1" t="n"/>
      <c r="H112" s="1" t="n"/>
      <c r="I112" s="1" t="n"/>
      <c r="J112" s="1" t="n"/>
      <c r="K112" s="1" t="n"/>
    </row>
    <row r="113" ht="12.75" customHeight="1" s="588">
      <c r="A113" s="1" t="n"/>
      <c r="B113" s="1" t="n"/>
      <c r="C113" s="1" t="n"/>
      <c r="D113" s="1" t="n"/>
      <c r="E113" s="1" t="n"/>
      <c r="F113" s="1" t="n"/>
      <c r="G113" s="1" t="n"/>
      <c r="H113" s="1" t="n"/>
      <c r="I113" s="1" t="n"/>
      <c r="J113" s="1" t="n"/>
      <c r="K113" s="1" t="n"/>
    </row>
    <row r="114" ht="12.75" customHeight="1" s="588">
      <c r="A114" s="1" t="n"/>
      <c r="B114" s="1" t="n"/>
      <c r="C114" s="1" t="n"/>
      <c r="D114" s="1" t="n"/>
      <c r="E114" s="44" t="inlineStr">
        <is>
          <t>Canal</t>
        </is>
      </c>
      <c r="F114" s="1" t="n"/>
      <c r="G114" s="1" t="n"/>
      <c r="H114" s="1" t="n"/>
      <c r="I114" s="44" t="inlineStr">
        <is>
          <t>Situación Actual</t>
        </is>
      </c>
      <c r="K114" s="1" t="n"/>
    </row>
    <row r="115" ht="12.75" customHeight="1" s="588">
      <c r="A115" s="1" t="n"/>
      <c r="B115" s="1" t="n"/>
      <c r="C115" s="1" t="n"/>
      <c r="D115" s="1" t="n"/>
      <c r="E115" s="1" t="n"/>
      <c r="F115" s="1" t="n"/>
      <c r="G115" s="1" t="n"/>
      <c r="H115" s="1" t="n"/>
      <c r="I115" s="1" t="n"/>
      <c r="J115" s="1" t="n"/>
      <c r="K115" s="1" t="n"/>
    </row>
    <row r="116" ht="12.75" customHeight="1" s="588">
      <c r="A116" s="687">
        <f>'EL QUÉ'!A8</f>
        <v/>
      </c>
      <c r="C116" s="692" t="inlineStr">
        <is>
          <t>Directo</t>
        </is>
      </c>
      <c r="D116" s="593" t="n"/>
      <c r="E116" s="593" t="n"/>
      <c r="F116" s="593" t="n"/>
      <c r="G116" s="593" t="n"/>
      <c r="H116" s="594" t="n"/>
      <c r="I116" s="693" t="inlineStr">
        <is>
          <t>Planificado</t>
        </is>
      </c>
      <c r="J116" s="594" t="n"/>
      <c r="K116" s="1" t="n"/>
    </row>
    <row r="117" ht="12.75" customHeight="1" s="588">
      <c r="C117" s="595" t="n"/>
      <c r="H117" s="596" t="n"/>
      <c r="I117" s="595" t="n"/>
      <c r="J117" s="596" t="n"/>
      <c r="K117" s="1" t="n"/>
    </row>
    <row r="118" ht="12.75" customHeight="1" s="588">
      <c r="C118" s="595" t="n"/>
      <c r="H118" s="596" t="n"/>
      <c r="I118" s="595" t="n"/>
      <c r="J118" s="596" t="n"/>
      <c r="K118" s="1" t="n"/>
    </row>
    <row r="119" ht="12.75" customHeight="1" s="588">
      <c r="C119" s="597" t="n"/>
      <c r="D119" s="598" t="n"/>
      <c r="E119" s="598" t="n"/>
      <c r="F119" s="598" t="n"/>
      <c r="G119" s="598" t="n"/>
      <c r="H119" s="599" t="n"/>
      <c r="I119" s="597" t="n"/>
      <c r="J119" s="599" t="n"/>
      <c r="K119" s="1" t="n"/>
    </row>
    <row r="120" ht="12.75" customHeight="1" s="588">
      <c r="A120" s="214" t="n"/>
      <c r="B120" s="214" t="n"/>
      <c r="C120" s="1" t="n"/>
      <c r="D120" s="1" t="n"/>
      <c r="E120" s="1" t="n"/>
      <c r="F120" s="1" t="n"/>
      <c r="G120" s="1" t="n"/>
      <c r="H120" s="1" t="n"/>
      <c r="I120" s="1" t="n"/>
      <c r="J120" s="1" t="n"/>
      <c r="K120" s="1" t="n"/>
    </row>
    <row r="121" ht="12.75" customHeight="1" s="588">
      <c r="A121" s="691">
        <f>IF('EL QUÉ'!A13="","",'EL QUÉ'!A13)</f>
        <v/>
      </c>
      <c r="B121" s="596" t="n"/>
      <c r="C121" s="692" t="inlineStr">
        <is>
          <t>Directo</t>
        </is>
      </c>
      <c r="D121" s="593" t="n"/>
      <c r="E121" s="593" t="n"/>
      <c r="F121" s="593" t="n"/>
      <c r="G121" s="593" t="n"/>
      <c r="H121" s="594" t="n"/>
      <c r="I121" s="693" t="inlineStr">
        <is>
          <t>Planificado</t>
        </is>
      </c>
      <c r="J121" s="594" t="n"/>
      <c r="K121" s="1" t="n"/>
    </row>
    <row r="122" ht="12.75" customHeight="1" s="588">
      <c r="B122" s="596" t="n"/>
      <c r="C122" s="595" t="n"/>
      <c r="H122" s="596" t="n"/>
      <c r="I122" s="595" t="n"/>
      <c r="J122" s="596" t="n"/>
      <c r="K122" s="1" t="n"/>
    </row>
    <row r="123" ht="12.75" customHeight="1" s="588">
      <c r="B123" s="596" t="n"/>
      <c r="C123" s="595" t="n"/>
      <c r="H123" s="596" t="n"/>
      <c r="I123" s="595" t="n"/>
      <c r="J123" s="596" t="n"/>
      <c r="K123" s="1" t="n"/>
    </row>
    <row r="124" ht="12.75" customHeight="1" s="588">
      <c r="B124" s="596" t="n"/>
      <c r="C124" s="597" t="n"/>
      <c r="D124" s="598" t="n"/>
      <c r="E124" s="598" t="n"/>
      <c r="F124" s="598" t="n"/>
      <c r="G124" s="598" t="n"/>
      <c r="H124" s="599" t="n"/>
      <c r="I124" s="597" t="n"/>
      <c r="J124" s="599" t="n"/>
      <c r="K124" s="1" t="n"/>
    </row>
    <row r="125" ht="12.75" customHeight="1" s="588">
      <c r="A125" s="214" t="n"/>
      <c r="B125" s="214" t="n"/>
      <c r="C125" s="1" t="n"/>
      <c r="D125" s="1" t="n"/>
      <c r="E125" s="1" t="n"/>
      <c r="F125" s="1" t="n"/>
      <c r="G125" s="1" t="n"/>
      <c r="H125" s="1" t="n"/>
      <c r="I125" s="1" t="n"/>
      <c r="J125" s="1" t="n"/>
      <c r="K125" s="1" t="n"/>
    </row>
    <row r="126" ht="12.75" customHeight="1" s="588">
      <c r="A126" s="691">
        <f>IF('EL QUÉ'!A18="","",'EL QUÉ'!A18)</f>
        <v/>
      </c>
      <c r="B126" s="596" t="n"/>
      <c r="C126" s="692" t="inlineStr">
        <is>
          <t>Directo</t>
        </is>
      </c>
      <c r="D126" s="593" t="n"/>
      <c r="E126" s="593" t="n"/>
      <c r="F126" s="593" t="n"/>
      <c r="G126" s="593" t="n"/>
      <c r="H126" s="594" t="n"/>
      <c r="I126" s="693" t="inlineStr">
        <is>
          <t>Planificado</t>
        </is>
      </c>
      <c r="J126" s="594" t="n"/>
      <c r="K126" s="1" t="n"/>
    </row>
    <row r="127" ht="12.75" customHeight="1" s="588">
      <c r="B127" s="596" t="n"/>
      <c r="C127" s="595" t="n"/>
      <c r="H127" s="596" t="n"/>
      <c r="I127" s="595" t="n"/>
      <c r="J127" s="596" t="n"/>
      <c r="K127" s="1" t="n"/>
    </row>
    <row r="128" ht="12.75" customHeight="1" s="588">
      <c r="B128" s="596" t="n"/>
      <c r="C128" s="595" t="n"/>
      <c r="H128" s="596" t="n"/>
      <c r="I128" s="595" t="n"/>
      <c r="J128" s="596" t="n"/>
      <c r="K128" s="1" t="n"/>
    </row>
    <row r="129" ht="12.75" customHeight="1" s="588">
      <c r="B129" s="596" t="n"/>
      <c r="C129" s="597" t="n"/>
      <c r="D129" s="598" t="n"/>
      <c r="E129" s="598" t="n"/>
      <c r="F129" s="598" t="n"/>
      <c r="G129" s="598" t="n"/>
      <c r="H129" s="599" t="n"/>
      <c r="I129" s="597" t="n"/>
      <c r="J129" s="599" t="n"/>
      <c r="K129" s="1" t="n"/>
    </row>
    <row r="130" ht="12.75" customHeight="1" s="588">
      <c r="A130" s="214" t="n"/>
      <c r="B130" s="214" t="n"/>
      <c r="C130" s="1" t="n"/>
      <c r="D130" s="1" t="n"/>
      <c r="E130" s="1" t="n"/>
      <c r="F130" s="1" t="n"/>
      <c r="G130" s="1" t="n"/>
      <c r="H130" s="1" t="n"/>
      <c r="I130" s="1" t="n"/>
      <c r="J130" s="1" t="n"/>
      <c r="K130" s="1" t="n"/>
    </row>
    <row r="131" ht="12.75" customHeight="1" s="588">
      <c r="A131" s="691">
        <f>IF('EL QUÉ'!A23="","",'EL QUÉ'!A23)</f>
        <v/>
      </c>
      <c r="B131" s="596" t="n"/>
      <c r="C131" s="692" t="inlineStr">
        <is>
          <t>Directo</t>
        </is>
      </c>
      <c r="D131" s="593" t="n"/>
      <c r="E131" s="593" t="n"/>
      <c r="F131" s="593" t="n"/>
      <c r="G131" s="593" t="n"/>
      <c r="H131" s="594" t="n"/>
      <c r="I131" s="693" t="inlineStr">
        <is>
          <t>Planificado</t>
        </is>
      </c>
      <c r="J131" s="594" t="n"/>
      <c r="K131" s="1" t="n"/>
    </row>
    <row r="132" ht="12.75" customHeight="1" s="588">
      <c r="B132" s="596" t="n"/>
      <c r="C132" s="595" t="n"/>
      <c r="H132" s="596" t="n"/>
      <c r="I132" s="595" t="n"/>
      <c r="J132" s="596" t="n"/>
      <c r="K132" s="1" t="n"/>
    </row>
    <row r="133" ht="12.75" customHeight="1" s="588">
      <c r="B133" s="596" t="n"/>
      <c r="C133" s="595" t="n"/>
      <c r="H133" s="596" t="n"/>
      <c r="I133" s="595" t="n"/>
      <c r="J133" s="596" t="n"/>
      <c r="K133" s="1" t="n"/>
    </row>
    <row r="134" ht="12.75" customHeight="1" s="588">
      <c r="B134" s="596" t="n"/>
      <c r="C134" s="597" t="n"/>
      <c r="D134" s="598" t="n"/>
      <c r="E134" s="598" t="n"/>
      <c r="F134" s="598" t="n"/>
      <c r="G134" s="598" t="n"/>
      <c r="H134" s="599" t="n"/>
      <c r="I134" s="597" t="n"/>
      <c r="J134" s="599" t="n"/>
      <c r="K134" s="1" t="n"/>
    </row>
    <row r="135" ht="12.75" customHeight="1" s="588">
      <c r="A135" s="214" t="n"/>
      <c r="B135" s="214" t="n"/>
      <c r="C135" s="1" t="n"/>
      <c r="D135" s="1" t="n"/>
      <c r="E135" s="1" t="n"/>
      <c r="F135" s="1" t="n"/>
      <c r="G135" s="1" t="n"/>
      <c r="H135" s="1" t="n"/>
      <c r="I135" s="1" t="n"/>
      <c r="J135" s="1" t="n"/>
      <c r="K135" s="1" t="n"/>
    </row>
    <row r="136" ht="12.75" customHeight="1" s="588">
      <c r="A136" s="691">
        <f>IF('EL QUÉ'!A28="","",'EL QUÉ'!A28)</f>
        <v/>
      </c>
      <c r="B136" s="596" t="n"/>
      <c r="C136" s="692" t="inlineStr">
        <is>
          <t>Directo</t>
        </is>
      </c>
      <c r="D136" s="593" t="n"/>
      <c r="E136" s="593" t="n"/>
      <c r="F136" s="593" t="n"/>
      <c r="G136" s="593" t="n"/>
      <c r="H136" s="594" t="n"/>
      <c r="I136" s="693" t="inlineStr">
        <is>
          <t>Planificado</t>
        </is>
      </c>
      <c r="J136" s="594" t="n"/>
      <c r="K136" s="1" t="n"/>
    </row>
    <row r="137" ht="12.75" customHeight="1" s="588">
      <c r="B137" s="596" t="n"/>
      <c r="C137" s="595" t="n"/>
      <c r="H137" s="596" t="n"/>
      <c r="I137" s="595" t="n"/>
      <c r="J137" s="596" t="n"/>
      <c r="K137" s="1" t="n"/>
    </row>
    <row r="138" ht="12.75" customHeight="1" s="588">
      <c r="B138" s="596" t="n"/>
      <c r="C138" s="595" t="n"/>
      <c r="H138" s="596" t="n"/>
      <c r="I138" s="595" t="n"/>
      <c r="J138" s="596" t="n"/>
      <c r="K138" s="1" t="n"/>
    </row>
    <row r="139" ht="12.75" customHeight="1" s="588">
      <c r="B139" s="596" t="n"/>
      <c r="C139" s="597" t="n"/>
      <c r="D139" s="598" t="n"/>
      <c r="E139" s="598" t="n"/>
      <c r="F139" s="598" t="n"/>
      <c r="G139" s="598" t="n"/>
      <c r="H139" s="599" t="n"/>
      <c r="I139" s="597" t="n"/>
      <c r="J139" s="599" t="n"/>
      <c r="K139" s="1" t="n"/>
    </row>
    <row r="140" hidden="1" ht="12.75" customHeight="1" s="588">
      <c r="A140" s="1" t="n"/>
      <c r="B140" s="1" t="n"/>
      <c r="C140" s="1" t="inlineStr">
        <is>
          <t>Directo</t>
        </is>
      </c>
      <c r="D140" s="1" t="n"/>
      <c r="E140" s="1" t="inlineStr">
        <is>
          <t>Planificado</t>
        </is>
      </c>
      <c r="F140" s="1" t="n"/>
      <c r="G140" s="1" t="n"/>
      <c r="H140" s="1" t="n"/>
      <c r="I140" s="1" t="n"/>
      <c r="J140" s="1" t="n"/>
      <c r="K140" s="1" t="n"/>
    </row>
    <row r="141" hidden="1" ht="12.75" customHeight="1" s="588">
      <c r="A141" s="1" t="n"/>
      <c r="B141" s="1" t="n"/>
      <c r="C141" s="1" t="inlineStr">
        <is>
          <t>Indirecto</t>
        </is>
      </c>
      <c r="D141" s="1" t="n"/>
      <c r="E141" s="1" t="inlineStr">
        <is>
          <t>Negociado</t>
        </is>
      </c>
      <c r="F141" s="1" t="n"/>
      <c r="G141" s="1" t="n"/>
      <c r="H141" s="1" t="n"/>
      <c r="I141" s="1" t="n"/>
      <c r="J141" s="1" t="n"/>
      <c r="K141" s="1" t="n"/>
    </row>
    <row r="142" hidden="1" ht="12.75" customHeight="1" s="588">
      <c r="A142" s="1" t="n"/>
      <c r="B142" s="1" t="n"/>
      <c r="C142" s="1" t="inlineStr">
        <is>
          <t>Virtual</t>
        </is>
      </c>
      <c r="D142" s="1" t="n"/>
      <c r="E142" s="1" t="inlineStr">
        <is>
          <t>Contratado</t>
        </is>
      </c>
      <c r="F142" s="1" t="n"/>
      <c r="G142" s="1" t="n"/>
      <c r="H142" s="1" t="n"/>
      <c r="I142" s="1" t="n"/>
      <c r="J142" s="1" t="n"/>
      <c r="K142" s="1" t="n"/>
    </row>
    <row r="143" ht="12.75" customHeight="1" s="588">
      <c r="A143" s="1" t="n"/>
      <c r="B143" s="1" t="n"/>
      <c r="C143" s="1" t="n"/>
      <c r="D143" s="1" t="n"/>
      <c r="E143" s="1" t="n"/>
      <c r="F143" s="1" t="n"/>
      <c r="G143" s="1" t="n"/>
      <c r="H143" s="1" t="n"/>
      <c r="I143" s="1" t="n"/>
      <c r="J143" s="1" t="n"/>
      <c r="K143" s="1" t="n"/>
    </row>
    <row r="144" ht="12.75" customHeight="1" s="588">
      <c r="A144" s="1" t="n"/>
      <c r="B144" s="1" t="n"/>
      <c r="C144" s="1" t="n"/>
      <c r="D144" s="1" t="n"/>
      <c r="E144" s="1" t="n"/>
      <c r="F144" s="1" t="n"/>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c r="A146" s="1" t="n"/>
      <c r="B146" s="1" t="n"/>
      <c r="C146" s="1" t="n"/>
      <c r="D146" s="1" t="n"/>
      <c r="E146" s="1" t="n"/>
      <c r="F146" s="1" t="n"/>
      <c r="G146" s="1" t="n"/>
      <c r="H146" s="1" t="n"/>
      <c r="I146" s="1" t="n"/>
      <c r="J146" s="1" t="n"/>
      <c r="K146" s="1" t="n"/>
    </row>
    <row r="147" ht="12.75" customHeight="1" s="588">
      <c r="A147" s="8" t="inlineStr">
        <is>
          <t>¿CÓMO?</t>
        </is>
      </c>
      <c r="B147" s="1" t="n"/>
      <c r="C147" s="1" t="n"/>
      <c r="D147" s="1" t="n"/>
      <c r="E147" s="1" t="n"/>
      <c r="F147" s="1" t="n"/>
      <c r="G147" s="1" t="n"/>
      <c r="H147" s="1" t="n"/>
      <c r="I147" s="1" t="n"/>
      <c r="J147" s="1" t="n"/>
      <c r="K147" s="185" t="inlineStr">
        <is>
          <t>Plan de Marketing y Comercialización</t>
        </is>
      </c>
    </row>
    <row r="148" ht="12.75" customHeight="1" s="588">
      <c r="A148" s="1" t="n"/>
      <c r="B148" s="1" t="n"/>
      <c r="C148" s="1" t="n"/>
      <c r="D148" s="1" t="n"/>
      <c r="E148" s="1" t="n"/>
      <c r="F148" s="1" t="n"/>
      <c r="G148" s="1" t="n"/>
      <c r="H148" s="1" t="n"/>
      <c r="I148" s="1" t="n"/>
      <c r="J148" s="1" t="n"/>
      <c r="K148" s="1" t="n"/>
    </row>
    <row r="149" ht="12.75" customHeight="1" s="588">
      <c r="A149" s="1" t="n"/>
      <c r="B149" s="1" t="n"/>
      <c r="C149" s="1" t="n"/>
      <c r="D149" s="1" t="n"/>
      <c r="E149" s="1" t="n"/>
      <c r="F149" s="130" t="inlineStr">
        <is>
          <t>Comunicación con el Mercado</t>
        </is>
      </c>
      <c r="G149" s="1" t="n"/>
      <c r="H149" s="1" t="n"/>
      <c r="I149" s="1" t="n"/>
      <c r="J149" s="1" t="n"/>
      <c r="K149" s="1" t="n"/>
    </row>
    <row r="150" ht="12.75" customHeight="1" s="588">
      <c r="A150" s="1" t="n"/>
      <c r="B150" s="1" t="n"/>
      <c r="C150" s="1" t="n"/>
      <c r="D150" s="1" t="n"/>
      <c r="E150" s="1" t="n"/>
      <c r="F150" s="1" t="n"/>
      <c r="G150" s="1" t="n"/>
      <c r="H150" s="1" t="n"/>
      <c r="I150" s="1" t="n"/>
      <c r="J150" s="1" t="n"/>
      <c r="K150" s="1" t="n"/>
    </row>
    <row r="151" ht="12.75" customHeight="1" s="588">
      <c r="A151" s="1" t="n"/>
      <c r="B151" s="1" t="n"/>
      <c r="C151" s="1" t="n"/>
      <c r="D151" s="44" t="inlineStr">
        <is>
          <t>Acciones</t>
        </is>
      </c>
      <c r="F151" s="1" t="n"/>
      <c r="G151" s="44" t="inlineStr">
        <is>
          <t>Gastos al Inicio</t>
        </is>
      </c>
      <c r="I151" s="44" t="inlineStr">
        <is>
          <t>Gastos Año 1</t>
        </is>
      </c>
      <c r="K151" s="1" t="n"/>
    </row>
    <row r="152" ht="12.75" customHeight="1" s="588">
      <c r="A152" s="1" t="n"/>
      <c r="B152" s="1" t="n"/>
      <c r="C152" s="1" t="n"/>
      <c r="D152" s="1" t="n"/>
      <c r="E152" s="1" t="n"/>
      <c r="F152" s="1" t="n"/>
      <c r="G152" s="1" t="n"/>
      <c r="H152" s="1" t="n"/>
      <c r="I152" s="1" t="n"/>
      <c r="J152" s="1" t="n"/>
      <c r="K152" s="1" t="n"/>
    </row>
    <row r="153" ht="12.75" customHeight="1" s="588">
      <c r="A153" s="687">
        <f>'EL QUÉ'!A8</f>
        <v/>
      </c>
      <c r="C153" s="654" t="inlineStr">
        <is>
          <t>Prospección directa, ficha de Google Business, SEO local, casos publicados</t>
        </is>
      </c>
      <c r="D153" s="593" t="n"/>
      <c r="E153" s="593" t="n"/>
      <c r="F153" s="594" t="n"/>
      <c r="G153" s="694" t="n">
        <v>150</v>
      </c>
      <c r="H153" s="594" t="n"/>
      <c r="I153" s="694" t="n">
        <v>700</v>
      </c>
      <c r="J153" s="594" t="n"/>
      <c r="K153" s="1" t="n"/>
    </row>
    <row r="154" ht="12.75" customHeight="1" s="588">
      <c r="C154" s="595" t="n"/>
      <c r="F154" s="596" t="n"/>
      <c r="G154" s="595" t="n"/>
      <c r="H154" s="596" t="n"/>
      <c r="I154" s="595" t="n"/>
      <c r="J154" s="596" t="n"/>
      <c r="K154" s="1" t="n"/>
    </row>
    <row r="155" ht="12.75" customHeight="1" s="588">
      <c r="C155" s="595" t="n"/>
      <c r="F155" s="596" t="n"/>
      <c r="G155" s="595" t="n"/>
      <c r="H155" s="596" t="n"/>
      <c r="I155" s="595" t="n"/>
      <c r="J155" s="596" t="n"/>
      <c r="K155" s="1" t="n"/>
    </row>
    <row r="156" ht="12.75" customHeight="1" s="588">
      <c r="C156" s="597" t="n"/>
      <c r="D156" s="598" t="n"/>
      <c r="E156" s="598" t="n"/>
      <c r="F156" s="599" t="n"/>
      <c r="G156" s="597" t="n"/>
      <c r="H156" s="599" t="n"/>
      <c r="I156" s="597" t="n"/>
      <c r="J156" s="599" t="n"/>
      <c r="K156" s="1" t="n"/>
    </row>
    <row r="157" ht="12.75" customHeight="1" s="588">
      <c r="A157" s="214" t="n"/>
      <c r="B157" s="214" t="n"/>
      <c r="C157" s="1" t="n"/>
      <c r="D157" s="1" t="n"/>
      <c r="E157" s="1" t="n"/>
      <c r="F157" s="1" t="n"/>
      <c r="G157" s="1" t="n"/>
      <c r="H157" s="1" t="n"/>
      <c r="I157" s="1" t="n"/>
      <c r="J157" s="1" t="n"/>
      <c r="K157" s="1" t="n"/>
    </row>
    <row r="158" ht="12.75" customHeight="1" s="588">
      <c r="A158" s="691">
        <f>IF('EL QUÉ'!A13="","",'EL QUÉ'!A13)</f>
        <v/>
      </c>
      <c r="B158" s="596" t="n"/>
      <c r="C158" s="654" t="inlineStr">
        <is>
          <t>Vertical bodegas y e-commerce: visita comercial y demo sectorial</t>
        </is>
      </c>
      <c r="D158" s="593" t="n"/>
      <c r="E158" s="593" t="n"/>
      <c r="F158" s="594" t="n"/>
      <c r="G158" s="694" t="n">
        <v>50</v>
      </c>
      <c r="H158" s="594" t="n"/>
      <c r="I158" s="694" t="n">
        <v>400</v>
      </c>
      <c r="J158" s="594" t="n"/>
      <c r="K158" s="1" t="n"/>
    </row>
    <row r="159" ht="12.75" customHeight="1" s="588">
      <c r="B159" s="596" t="n"/>
      <c r="C159" s="595" t="n"/>
      <c r="F159" s="596" t="n"/>
      <c r="G159" s="595" t="n"/>
      <c r="H159" s="596" t="n"/>
      <c r="I159" s="595" t="n"/>
      <c r="J159" s="596" t="n"/>
      <c r="K159" s="1" t="n"/>
    </row>
    <row r="160" ht="12.75" customHeight="1" s="588">
      <c r="B160" s="596" t="n"/>
      <c r="C160" s="595" t="n"/>
      <c r="F160" s="596" t="n"/>
      <c r="G160" s="595" t="n"/>
      <c r="H160" s="596" t="n"/>
      <c r="I160" s="595" t="n"/>
      <c r="J160" s="596" t="n"/>
      <c r="K160" s="1" t="n"/>
    </row>
    <row r="161" ht="12.75" customHeight="1" s="588">
      <c r="B161" s="596" t="n"/>
      <c r="C161" s="597" t="n"/>
      <c r="D161" s="598" t="n"/>
      <c r="E161" s="598" t="n"/>
      <c r="F161" s="599" t="n"/>
      <c r="G161" s="597" t="n"/>
      <c r="H161" s="599" t="n"/>
      <c r="I161" s="597" t="n"/>
      <c r="J161" s="599" t="n"/>
      <c r="K161" s="1" t="n"/>
    </row>
    <row r="162" ht="12.75" customHeight="1" s="588">
      <c r="A162" s="214" t="n"/>
      <c r="B162" s="214" t="n"/>
      <c r="C162" s="1" t="n"/>
      <c r="D162" s="1" t="n"/>
      <c r="E162" s="1" t="n"/>
      <c r="F162" s="1" t="n"/>
      <c r="G162" s="1" t="n"/>
      <c r="H162" s="1" t="n"/>
      <c r="I162" s="1" t="n"/>
      <c r="J162" s="1" t="n"/>
      <c r="K162" s="1" t="n"/>
    </row>
    <row r="163" ht="12.75" customHeight="1" s="588">
      <c r="A163" s="691">
        <f>IF('EL QUÉ'!A18="","",'EL QUÉ'!A18)</f>
        <v/>
      </c>
      <c r="B163" s="596" t="n"/>
      <c r="C163" s="654" t="inlineStr">
        <is>
          <t>Alianza con imprentas y rotulación; portfolio visual en Instagram</t>
        </is>
      </c>
      <c r="D163" s="593" t="n"/>
      <c r="E163" s="593" t="n"/>
      <c r="F163" s="594" t="n"/>
      <c r="G163" s="694" t="n">
        <v>50</v>
      </c>
      <c r="H163" s="594" t="n"/>
      <c r="I163" s="694" t="n">
        <v>300</v>
      </c>
      <c r="J163" s="594" t="n"/>
      <c r="K163" s="1" t="n"/>
    </row>
    <row r="164" ht="12.75" customHeight="1" s="588">
      <c r="B164" s="596" t="n"/>
      <c r="C164" s="595" t="n"/>
      <c r="F164" s="596" t="n"/>
      <c r="G164" s="595" t="n"/>
      <c r="H164" s="596" t="n"/>
      <c r="I164" s="595" t="n"/>
      <c r="J164" s="596" t="n"/>
      <c r="K164" s="1" t="n"/>
    </row>
    <row r="165" ht="12.75" customHeight="1" s="588">
      <c r="B165" s="596" t="n"/>
      <c r="C165" s="595" t="n"/>
      <c r="F165" s="596" t="n"/>
      <c r="G165" s="595" t="n"/>
      <c r="H165" s="596" t="n"/>
      <c r="I165" s="595" t="n"/>
      <c r="J165" s="596" t="n"/>
      <c r="K165" s="1" t="n"/>
    </row>
    <row r="166" ht="12.75" customHeight="1" s="588">
      <c r="B166" s="596" t="n"/>
      <c r="C166" s="597" t="n"/>
      <c r="D166" s="598" t="n"/>
      <c r="E166" s="598" t="n"/>
      <c r="F166" s="599" t="n"/>
      <c r="G166" s="597" t="n"/>
      <c r="H166" s="599" t="n"/>
      <c r="I166" s="597" t="n"/>
      <c r="J166" s="599" t="n"/>
      <c r="K166" s="1" t="n"/>
    </row>
    <row r="167" ht="12.75" customHeight="1" s="588">
      <c r="A167" s="214" t="n"/>
      <c r="B167" s="214" t="n"/>
      <c r="C167" s="1" t="n"/>
      <c r="D167" s="1" t="n"/>
      <c r="E167" s="1" t="n"/>
      <c r="F167" s="1" t="n"/>
      <c r="G167" s="1" t="n"/>
      <c r="H167" s="1" t="n"/>
      <c r="I167" s="1" t="n"/>
      <c r="J167" s="1" t="n"/>
      <c r="K167" s="1" t="n"/>
    </row>
    <row r="168" ht="12.75" customHeight="1" s="588">
      <c r="A168" s="691">
        <f>IF('EL QUÉ'!A23="","",'EL QUÉ'!A23)</f>
        <v/>
      </c>
      <c r="B168" s="596" t="n"/>
      <c r="C168" s="654" t="inlineStr">
        <is>
          <t>Venta cruzada en la entrega de cada proyecto; revisión trimestral</t>
        </is>
      </c>
      <c r="D168" s="593" t="n"/>
      <c r="E168" s="593" t="n"/>
      <c r="F168" s="594" t="n"/>
      <c r="G168" s="694" t="n">
        <v>25</v>
      </c>
      <c r="H168" s="594" t="n"/>
      <c r="I168" s="694" t="n">
        <v>100</v>
      </c>
      <c r="J168" s="594" t="n"/>
      <c r="K168" s="1" t="n"/>
    </row>
    <row r="169" ht="12.75" customHeight="1" s="588">
      <c r="B169" s="596" t="n"/>
      <c r="C169" s="595" t="n"/>
      <c r="F169" s="596" t="n"/>
      <c r="G169" s="595" t="n"/>
      <c r="H169" s="596" t="n"/>
      <c r="I169" s="595" t="n"/>
      <c r="J169" s="596" t="n"/>
      <c r="K169" s="1" t="n"/>
    </row>
    <row r="170" ht="12.75" customHeight="1" s="588">
      <c r="B170" s="596" t="n"/>
      <c r="C170" s="595" t="n"/>
      <c r="F170" s="596" t="n"/>
      <c r="G170" s="595" t="n"/>
      <c r="H170" s="596" t="n"/>
      <c r="I170" s="595" t="n"/>
      <c r="J170" s="596" t="n"/>
      <c r="K170" s="1" t="n"/>
    </row>
    <row r="171" ht="12.75" customHeight="1" s="588">
      <c r="B171" s="596" t="n"/>
      <c r="C171" s="597" t="n"/>
      <c r="D171" s="598" t="n"/>
      <c r="E171" s="598" t="n"/>
      <c r="F171" s="599" t="n"/>
      <c r="G171" s="597" t="n"/>
      <c r="H171" s="599" t="n"/>
      <c r="I171" s="597" t="n"/>
      <c r="J171" s="599" t="n"/>
      <c r="K171" s="1" t="n"/>
    </row>
    <row r="172" ht="12.75" customHeight="1" s="588">
      <c r="A172" s="214" t="n"/>
      <c r="B172" s="214" t="n"/>
      <c r="C172" s="1" t="n"/>
      <c r="D172" s="1" t="n"/>
      <c r="E172" s="1" t="n"/>
      <c r="F172" s="1" t="n"/>
      <c r="G172" s="1" t="n"/>
      <c r="H172" s="1" t="n"/>
      <c r="I172" s="1" t="n"/>
      <c r="J172" s="1" t="n"/>
      <c r="K172" s="1" t="n"/>
    </row>
    <row r="173" ht="12.75" customHeight="1" s="588">
      <c r="A173" s="691">
        <f>IF('EL QUÉ'!A28="","",'EL QUÉ'!A28)</f>
        <v/>
      </c>
      <c r="B173" s="596" t="n"/>
      <c r="C173" s="654" t="inlineStr">
        <is>
          <t>Diagnóstico digital gratuito de 15 minutos como puerta de entrada</t>
        </is>
      </c>
      <c r="D173" s="593" t="n"/>
      <c r="E173" s="593" t="n"/>
      <c r="F173" s="594" t="n"/>
      <c r="G173" s="694" t="n">
        <v>25</v>
      </c>
      <c r="H173" s="594" t="n"/>
      <c r="I173" s="694" t="n">
        <v>100</v>
      </c>
      <c r="J173" s="594" t="n"/>
      <c r="K173" s="1" t="n"/>
    </row>
    <row r="174" ht="12.75" customHeight="1" s="588">
      <c r="B174" s="596" t="n"/>
      <c r="C174" s="595" t="n"/>
      <c r="F174" s="596" t="n"/>
      <c r="G174" s="595" t="n"/>
      <c r="H174" s="596" t="n"/>
      <c r="I174" s="595" t="n"/>
      <c r="J174" s="596" t="n"/>
      <c r="K174" s="1" t="n"/>
    </row>
    <row r="175" ht="12.75" customHeight="1" s="588">
      <c r="B175" s="596" t="n"/>
      <c r="C175" s="595" t="n"/>
      <c r="F175" s="596" t="n"/>
      <c r="G175" s="595" t="n"/>
      <c r="H175" s="596" t="n"/>
      <c r="I175" s="595" t="n"/>
      <c r="J175" s="596" t="n"/>
      <c r="K175" s="1" t="n"/>
    </row>
    <row r="176" ht="12.75" customHeight="1" s="588">
      <c r="B176" s="596" t="n"/>
      <c r="C176" s="597" t="n"/>
      <c r="D176" s="598" t="n"/>
      <c r="E176" s="598" t="n"/>
      <c r="F176" s="599" t="n"/>
      <c r="G176" s="597" t="n"/>
      <c r="H176" s="599" t="n"/>
      <c r="I176" s="597" t="n"/>
      <c r="J176" s="599" t="n"/>
      <c r="K176" s="1" t="n"/>
    </row>
    <row r="177" ht="12.75" customHeight="1" s="588">
      <c r="A177" s="1" t="n"/>
      <c r="B177" s="1" t="n"/>
      <c r="C177" s="1" t="n"/>
      <c r="D177" s="1" t="n"/>
      <c r="E177" s="1" t="n"/>
      <c r="F177" s="1" t="n"/>
      <c r="G177" s="1" t="n"/>
      <c r="H177" s="1" t="n"/>
      <c r="I177" s="1" t="n"/>
      <c r="J177" s="1" t="n"/>
      <c r="K177" s="1" t="n"/>
    </row>
    <row r="178" ht="12.75" customHeight="1" s="588">
      <c r="A178" s="1" t="n"/>
      <c r="B178" s="220" t="inlineStr">
        <is>
          <t>TOTAL</t>
        </is>
      </c>
      <c r="C178" s="1" t="n"/>
      <c r="D178" s="1" t="n"/>
      <c r="E178" s="1" t="n"/>
      <c r="F178" s="1" t="n"/>
      <c r="G178" s="695">
        <f>G153+G158+G163+G168+G173</f>
        <v/>
      </c>
      <c r="I178" s="695">
        <f>I153+I158+I163+I168+I173</f>
        <v/>
      </c>
      <c r="K178" s="1" t="n"/>
    </row>
    <row r="179" ht="12.75" customHeight="1" s="588">
      <c r="A179" s="1" t="n"/>
      <c r="B179" s="1" t="n"/>
      <c r="C179" s="1" t="n"/>
      <c r="D179" s="1" t="n"/>
      <c r="E179" s="1" t="n"/>
      <c r="F179" s="1" t="n"/>
      <c r="G179" s="1" t="n"/>
      <c r="H179" s="1" t="n"/>
      <c r="I179" s="1" t="n"/>
      <c r="J179" s="1" t="n"/>
      <c r="K179" s="1" t="n"/>
    </row>
    <row r="180" ht="12.75" customHeight="1" s="588">
      <c r="A180" s="1" t="n"/>
      <c r="B180" s="1" t="n"/>
      <c r="C180" s="1" t="n"/>
      <c r="D180" s="1" t="n"/>
      <c r="E180" s="1" t="n"/>
      <c r="F180" s="1" t="n"/>
      <c r="G180" s="1" t="n"/>
      <c r="H180" s="1" t="n"/>
      <c r="I180" s="1" t="n"/>
      <c r="J180" s="1" t="n"/>
      <c r="K180" s="1" t="n"/>
    </row>
    <row r="181" ht="12.75" customHeight="1" s="588">
      <c r="A181" s="1" t="n"/>
      <c r="B181" s="1" t="n"/>
      <c r="C181" s="1" t="n"/>
      <c r="D181" s="1" t="n"/>
      <c r="E181" s="1" t="n"/>
      <c r="F181" s="1" t="n"/>
      <c r="G181" s="1" t="n"/>
      <c r="H181" s="1" t="n"/>
      <c r="I181" s="1" t="n"/>
      <c r="J181" s="1" t="n"/>
      <c r="K181" s="1" t="n"/>
    </row>
    <row r="182" ht="12.75" customHeight="1" s="588">
      <c r="A182" s="8" t="inlineStr">
        <is>
          <t>¿CÓMO?</t>
        </is>
      </c>
      <c r="B182" s="1" t="n"/>
      <c r="C182" s="1" t="n"/>
      <c r="D182" s="1" t="n"/>
      <c r="E182" s="1" t="n"/>
      <c r="F182" s="1" t="n"/>
      <c r="G182" s="1" t="n"/>
      <c r="H182" s="1" t="n"/>
      <c r="I182" s="1" t="n"/>
      <c r="J182" s="1" t="n"/>
      <c r="K182" s="185" t="inlineStr">
        <is>
          <t>Plan de Operaciones</t>
        </is>
      </c>
    </row>
    <row r="183" ht="12.75" customHeight="1" s="588">
      <c r="A183" s="1" t="n"/>
      <c r="B183" s="1" t="n"/>
      <c r="C183" s="1" t="n"/>
      <c r="D183" s="1" t="n"/>
      <c r="E183" s="1" t="n"/>
      <c r="F183" s="130" t="inlineStr">
        <is>
          <t>Descripción del Proceso Productivo y de los Recursos necesarios</t>
        </is>
      </c>
      <c r="G183" s="1" t="n"/>
      <c r="H183" s="1" t="n"/>
      <c r="I183" s="1" t="n"/>
      <c r="J183" s="1" t="n"/>
      <c r="K183" s="1" t="n"/>
      <c r="L183" s="16" t="n"/>
      <c r="M183" s="16" t="n"/>
      <c r="N183" s="16" t="n"/>
      <c r="O183" s="16" t="n"/>
      <c r="P183" s="16" t="n"/>
      <c r="Q183" s="16" t="n"/>
      <c r="R183" s="16" t="n"/>
      <c r="S183" s="16" t="n"/>
      <c r="T183" s="16" t="n"/>
      <c r="U183" s="16" t="n"/>
      <c r="V183" s="16" t="n"/>
      <c r="W183" s="16" t="n"/>
      <c r="X183" s="16" t="n"/>
      <c r="Y183" s="16" t="n"/>
      <c r="Z183" s="16" t="n"/>
    </row>
    <row r="184" ht="12.75" customHeight="1" s="588">
      <c r="A184" s="1" t="n"/>
      <c r="B184" s="1" t="n"/>
      <c r="C184" s="1" t="n"/>
      <c r="D184" s="1" t="n"/>
      <c r="E184" s="1" t="n"/>
      <c r="F184" s="1" t="n"/>
      <c r="G184" s="1" t="n"/>
      <c r="H184" s="1" t="n"/>
      <c r="I184" s="1" t="n"/>
      <c r="J184" s="1" t="n"/>
      <c r="K184" s="1" t="n"/>
    </row>
    <row r="185" ht="12.75" customHeight="1" s="588">
      <c r="A185" s="696" t="inlineStr">
        <is>
          <t>PROCESO PRODUCTIVO
1. Captación y primer contacto: prospección directa del Socio 2, prescriptor o formulario.
2. Diagnóstico digital gratuito de 15 minutos: estado de la web, ficha de Google, velocidad, seguridad y posicionamiento local. Lo ejecuta el Socio 2 en la propia visita, con guion estandarizado.
3. Propuesta cerrada con alcance, plazo y precio. Siempre con opción de cuota de mantenimiento incluida.
4. Contrato y anticipo del 50%. No se empieza sin anticipo.
5. Briefing de contenidos y recopilación de material del cliente (fase que más retrasos causa: se fija plazo máximo de 15 días).
6. Diseño y desarrollo por la Socia 1, con subcontratación a freelances en los picos. Uso de IA generativa para borradores de texto e imagen, siempre con revisión humana y validación del cliente.
7. Revisión con el cliente y dos rondas de cambios incluidas. La tercera se factura.
8. Testeo (móvil, velocidad, formularios, RGPD y cookies) y publicación.
9. Cobro del 50% restante ANTES de entregar accesos.
10. Formación básica al cliente y alta en el plan de mantenimiento.
11. Mantenimiento mensual: copias, actualizaciones, seguridad, soporte y revisión trimestral presencial, que aprovecha el Socio 2 para detectar nueva venta.
RECURSOS NECESARIOS
Portátil de producción, monitor secundario, smartphone e impresora/escáner.
WordPress como gestor de contenidos estándar; hosting gestionado externo.
Adobe Creative Cloud y Figma para diseño.
Herramientas de SEO local y de IA generativa.
Dos puestos en coworking en Ponferrada y conectividad de fibra.
Red de freelances de confianza para absorber picos sin crear estructura fija.
Biblioteca propia de plantillas, checklists y procesos documentados: es lo que impide que el margen dependa de rehacer el trabajo en cada cliente.
CAPACIDAD Y CUELLO DE BOTELLA: 29 proyectos al año (14 web esencial, 4 web profesional, 11 identidad gráfica), unos 2,4 al mes, más la cartera recurrente. Toda la producción recae en la Socia 1, así que la capacidad de ENTREGA, no la de venta, es el límite del Año 1. Por eso el coste de ventas incluye subcontratación variable y por eso la primera contratación por cuenta ajena se planifica para el Año 2.</t>
        </is>
      </c>
      <c r="B185" s="593" t="n"/>
      <c r="C185" s="593" t="n"/>
      <c r="D185" s="593" t="n"/>
      <c r="E185" s="593" t="n"/>
      <c r="F185" s="593" t="n"/>
      <c r="G185" s="593" t="n"/>
      <c r="H185" s="593" t="n"/>
      <c r="I185" s="593" t="n"/>
      <c r="J185" s="593" t="n"/>
      <c r="K185" s="594" t="n"/>
    </row>
    <row r="186" ht="12.75" customHeight="1" s="588">
      <c r="A186" s="595" t="n"/>
      <c r="K186" s="596" t="n"/>
    </row>
    <row r="187" ht="12.75" customHeight="1" s="588">
      <c r="A187" s="595" t="n"/>
      <c r="K187" s="596" t="n"/>
    </row>
    <row r="188" ht="12.75" customHeight="1" s="588">
      <c r="A188" s="595" t="n"/>
      <c r="K188" s="596" t="n"/>
    </row>
    <row r="189" ht="12.75" customHeight="1" s="588">
      <c r="A189" s="595" t="n"/>
      <c r="K189" s="596" t="n"/>
    </row>
    <row r="190" ht="12.75" customHeight="1" s="588">
      <c r="A190" s="595" t="n"/>
      <c r="K190" s="596" t="n"/>
    </row>
    <row r="191" ht="12.75" customHeight="1" s="588">
      <c r="A191" s="595" t="n"/>
      <c r="K191" s="596" t="n"/>
    </row>
    <row r="192" ht="12.75" customHeight="1" s="588">
      <c r="A192" s="595" t="n"/>
      <c r="K192" s="596" t="n"/>
    </row>
    <row r="193" ht="12.75" customHeight="1" s="588">
      <c r="A193" s="595" t="n"/>
      <c r="K193" s="596" t="n"/>
    </row>
    <row r="194" ht="12.75" customHeight="1" s="588">
      <c r="A194" s="595" t="n"/>
      <c r="K194" s="596" t="n"/>
    </row>
    <row r="195" ht="12.75" customHeight="1" s="588">
      <c r="A195" s="595" t="n"/>
      <c r="K195" s="596" t="n"/>
    </row>
    <row r="196" ht="12.75" customHeight="1" s="588">
      <c r="A196" s="595" t="n"/>
      <c r="K196" s="596" t="n"/>
    </row>
    <row r="197" ht="12.75" customHeight="1" s="588">
      <c r="A197" s="595" t="n"/>
      <c r="K197" s="596" t="n"/>
    </row>
    <row r="198" ht="12.75" customHeight="1" s="588">
      <c r="A198" s="595" t="n"/>
      <c r="K198" s="596" t="n"/>
    </row>
    <row r="199" ht="12.75" customHeight="1" s="588">
      <c r="A199" s="595" t="n"/>
      <c r="K199" s="596" t="n"/>
    </row>
    <row r="200" ht="12.75" customHeight="1" s="588">
      <c r="A200" s="595" t="n"/>
      <c r="K200" s="596" t="n"/>
    </row>
    <row r="201" ht="12.75" customHeight="1" s="588">
      <c r="A201" s="595" t="n"/>
      <c r="K201" s="596" t="n"/>
    </row>
    <row r="202" ht="12.75" customHeight="1" s="588">
      <c r="A202" s="595" t="n"/>
      <c r="K202" s="596" t="n"/>
    </row>
    <row r="203" ht="12.75" customHeight="1" s="588">
      <c r="A203" s="595" t="n"/>
      <c r="K203" s="596" t="n"/>
    </row>
    <row r="204" ht="12.75" customHeight="1" s="588">
      <c r="A204" s="595" t="n"/>
      <c r="K204" s="596" t="n"/>
    </row>
    <row r="205" ht="12.75" customHeight="1" s="588">
      <c r="A205" s="595" t="n"/>
      <c r="K205" s="596" t="n"/>
    </row>
    <row r="206" ht="12.75" customHeight="1" s="588">
      <c r="A206" s="595" t="n"/>
      <c r="K206" s="596" t="n"/>
    </row>
    <row r="207" ht="12.75" customHeight="1" s="588">
      <c r="A207" s="595" t="n"/>
      <c r="K207" s="596" t="n"/>
    </row>
    <row r="208" ht="12.75" customHeight="1" s="588">
      <c r="A208" s="595" t="n"/>
      <c r="K208" s="596" t="n"/>
    </row>
    <row r="209" ht="12.75" customHeight="1" s="588">
      <c r="A209" s="595" t="n"/>
      <c r="K209" s="596" t="n"/>
    </row>
    <row r="210" ht="12.75" customHeight="1" s="588">
      <c r="A210" s="595" t="n"/>
      <c r="K210" s="596" t="n"/>
    </row>
    <row r="211" ht="12.75" customHeight="1" s="588">
      <c r="A211" s="595" t="n"/>
      <c r="K211" s="596" t="n"/>
    </row>
    <row r="212" ht="12.75" customHeight="1" s="588">
      <c r="A212" s="595" t="n"/>
      <c r="K212" s="596" t="n"/>
    </row>
    <row r="213" ht="12.75" customHeight="1" s="588">
      <c r="A213" s="595" t="n"/>
      <c r="K213" s="596" t="n"/>
    </row>
    <row r="214" ht="12.75" customHeight="1" s="588">
      <c r="A214" s="597" t="n"/>
      <c r="B214" s="598" t="n"/>
      <c r="C214" s="598" t="n"/>
      <c r="D214" s="598" t="n"/>
      <c r="E214" s="598" t="n"/>
      <c r="F214" s="598" t="n"/>
      <c r="G214" s="598" t="n"/>
      <c r="H214" s="598" t="n"/>
      <c r="I214" s="598" t="n"/>
      <c r="J214" s="598" t="n"/>
      <c r="K214" s="599" t="n"/>
    </row>
    <row r="215" ht="12.75" customHeight="1" s="588">
      <c r="A215" s="1" t="n"/>
      <c r="B215" s="1" t="n"/>
      <c r="C215" s="1" t="n"/>
      <c r="D215" s="1" t="n"/>
      <c r="E215" s="1" t="n"/>
      <c r="F215" s="1" t="n"/>
      <c r="G215" s="1" t="n"/>
      <c r="H215" s="1" t="n"/>
      <c r="I215" s="1" t="n"/>
      <c r="J215" s="1" t="n"/>
      <c r="K215" s="1" t="n"/>
      <c r="L215" s="16" t="n"/>
      <c r="M215" s="16" t="n"/>
      <c r="N215" s="16" t="n"/>
      <c r="O215" s="16" t="n"/>
      <c r="P215" s="16" t="n"/>
      <c r="Q215" s="16" t="n"/>
      <c r="R215" s="16" t="n"/>
      <c r="S215" s="16" t="n"/>
      <c r="T215" s="16" t="n"/>
      <c r="U215" s="16" t="n"/>
      <c r="V215" s="16" t="n"/>
      <c r="W215" s="16" t="n"/>
      <c r="X215" s="16" t="n"/>
      <c r="Y215" s="16" t="n"/>
      <c r="Z215" s="16" t="n"/>
    </row>
    <row r="216" ht="12.75" customHeight="1" s="588">
      <c r="A216" s="8" t="inlineStr">
        <is>
          <t>¿CÓMO?</t>
        </is>
      </c>
      <c r="B216" s="1" t="n"/>
      <c r="C216" s="1" t="n"/>
      <c r="D216" s="1" t="n"/>
      <c r="E216" s="1" t="n"/>
      <c r="F216" s="1" t="n"/>
      <c r="G216" s="1" t="n"/>
      <c r="H216" s="1" t="n"/>
      <c r="I216" s="1" t="n"/>
      <c r="J216" s="1" t="n"/>
      <c r="K216" s="185" t="inlineStr">
        <is>
          <t>Plan de Operaciones</t>
        </is>
      </c>
      <c r="L216" s="16" t="n"/>
      <c r="M216" s="16" t="n"/>
      <c r="N216" s="16" t="n"/>
      <c r="O216" s="16" t="n"/>
      <c r="P216" s="16" t="n"/>
      <c r="Q216" s="16" t="n"/>
      <c r="R216" s="16" t="n"/>
      <c r="S216" s="16" t="n"/>
      <c r="T216" s="16" t="n"/>
      <c r="U216" s="16" t="n"/>
      <c r="V216" s="16" t="n"/>
      <c r="W216" s="16" t="n"/>
      <c r="X216" s="16" t="n"/>
      <c r="Y216" s="16" t="n"/>
      <c r="Z216" s="16" t="n"/>
    </row>
    <row r="217" ht="12.75" customHeight="1" s="588">
      <c r="A217" s="1" t="n"/>
      <c r="B217" s="1" t="n"/>
      <c r="C217" s="1" t="n"/>
      <c r="D217" s="1" t="n"/>
      <c r="E217" s="1" t="n"/>
      <c r="F217" s="130" t="inlineStr">
        <is>
          <t>Política de Compras y Almacenaje</t>
        </is>
      </c>
      <c r="G217" s="1" t="n"/>
      <c r="H217" s="1" t="n"/>
      <c r="I217" s="1" t="n"/>
      <c r="J217" s="1" t="n"/>
      <c r="K217" s="1" t="n"/>
      <c r="L217" s="16" t="n"/>
      <c r="M217" s="16" t="n"/>
      <c r="N217" s="16" t="n"/>
      <c r="O217" s="16" t="n"/>
      <c r="P217" s="16" t="n"/>
      <c r="Q217" s="16" t="n"/>
      <c r="R217" s="16" t="n"/>
      <c r="S217" s="16" t="n"/>
      <c r="T217" s="16" t="n"/>
      <c r="U217" s="16" t="n"/>
      <c r="V217" s="16" t="n"/>
      <c r="W217" s="16" t="n"/>
      <c r="X217" s="16" t="n"/>
      <c r="Y217" s="16" t="n"/>
      <c r="Z217" s="16" t="n"/>
    </row>
    <row r="218" ht="12.75" customHeight="1" s="588">
      <c r="A218" s="1" t="n"/>
      <c r="B218" s="1" t="n"/>
      <c r="C218" s="1" t="n"/>
      <c r="D218" s="1" t="n"/>
      <c r="E218" s="1" t="n"/>
      <c r="F218" s="1" t="n"/>
      <c r="G218" s="1" t="n"/>
      <c r="H218" s="1" t="n"/>
      <c r="I218" s="1" t="n"/>
      <c r="J218" s="1" t="n"/>
      <c r="K218" s="1" t="n"/>
      <c r="L218" s="16" t="n"/>
      <c r="M218" s="16" t="n"/>
      <c r="N218" s="16" t="n"/>
      <c r="O218" s="16" t="n"/>
      <c r="P218" s="16" t="n"/>
      <c r="Q218" s="16" t="n"/>
      <c r="R218" s="16" t="n"/>
      <c r="S218" s="16" t="n"/>
      <c r="T218" s="16" t="n"/>
      <c r="U218" s="16" t="n"/>
      <c r="V218" s="16" t="n"/>
      <c r="W218" s="16" t="n"/>
      <c r="X218" s="16" t="n"/>
      <c r="Y218" s="16" t="n"/>
      <c r="Z218" s="16" t="n"/>
    </row>
    <row r="219" ht="12.75" customHeight="1" s="588">
      <c r="A219" s="697" t="inlineStr">
        <is>
          <t>POLÍTICA DE COMPRAS Y ALMACENAJE
Negocio de servicios: NO HAY EXISTENCIAS NI ALMACEN. El almacen del modelo financiero queda a cero de forma permanente y por eso la rotación de existencias figura como no aplicable en los ratios.
Lo que en este negocio equivale a "compras" son tres cosas:
1. Servicios recurrentes contratados a terceros (hosting gestionado, dominios, licencias, herramientas). Se pagan por anticipado, mensual o anualmente. Regla: contratar anual solo cuando el descuento supere el 15%, para no comprometer caja.
2. Subcontratación de producción a freelances en picos de trabajo. Es coste VARIABLE, nunca estructura fija. Va imputado al coste de ventas de cada línea.
3. Materiales de terceros por proyecto: fuentes tipográficas, imágenes de stock, plugins premium y pasarelas de pago. Se repercuten al cliente en el presupuesto.
CRITERIO DE PROVEEDOR: los proveedores de este sector son fácilmente sustituibles (análisis de Porter). Se evita cualquier permanencia larga y se exige portabilidad de los sitios alojados, para no quedar atrapada con un proveedor de hosting.</t>
        </is>
      </c>
      <c r="B219" s="593" t="n"/>
      <c r="C219" s="593" t="n"/>
      <c r="D219" s="593" t="n"/>
      <c r="E219" s="593" t="n"/>
      <c r="F219" s="593" t="n"/>
      <c r="G219" s="593" t="n"/>
      <c r="H219" s="593" t="n"/>
      <c r="I219" s="593" t="n"/>
      <c r="J219" s="593" t="n"/>
      <c r="K219" s="594" t="n"/>
      <c r="L219" s="16" t="n"/>
      <c r="M219" s="16" t="n"/>
      <c r="N219" s="16" t="n"/>
      <c r="O219" s="16" t="n"/>
      <c r="P219" s="16" t="n"/>
      <c r="Q219" s="16" t="n"/>
      <c r="R219" s="16" t="n"/>
      <c r="S219" s="16" t="n"/>
      <c r="T219" s="16" t="n"/>
      <c r="U219" s="16" t="n"/>
      <c r="V219" s="16" t="n"/>
      <c r="W219" s="16" t="n"/>
      <c r="X219" s="16" t="n"/>
      <c r="Y219" s="16" t="n"/>
      <c r="Z219" s="16" t="n"/>
    </row>
    <row r="220" ht="12.75" customHeight="1" s="588">
      <c r="A220" s="595" t="n"/>
      <c r="K220" s="596" t="n"/>
      <c r="L220" s="16" t="n"/>
      <c r="M220" s="16" t="n"/>
      <c r="N220" s="16" t="n"/>
      <c r="O220" s="16" t="n"/>
      <c r="P220" s="16" t="n"/>
      <c r="Q220" s="16" t="n"/>
      <c r="R220" s="16" t="n"/>
      <c r="S220" s="16" t="n"/>
      <c r="T220" s="16" t="n"/>
      <c r="U220" s="16" t="n"/>
      <c r="V220" s="16" t="n"/>
      <c r="W220" s="16" t="n"/>
      <c r="X220" s="16" t="n"/>
      <c r="Y220" s="16" t="n"/>
      <c r="Z220" s="16" t="n"/>
    </row>
    <row r="221" ht="12.75" customHeight="1" s="588">
      <c r="A221" s="595" t="n"/>
      <c r="K221" s="596" t="n"/>
      <c r="L221" s="16" t="n"/>
      <c r="M221" s="16" t="n"/>
      <c r="N221" s="16" t="n"/>
      <c r="O221" s="16" t="n"/>
      <c r="P221" s="16" t="n"/>
      <c r="Q221" s="16" t="n"/>
      <c r="R221" s="16" t="n"/>
      <c r="S221" s="16" t="n"/>
      <c r="T221" s="16" t="n"/>
      <c r="U221" s="16" t="n"/>
      <c r="V221" s="16" t="n"/>
      <c r="W221" s="16" t="n"/>
      <c r="X221" s="16" t="n"/>
      <c r="Y221" s="16" t="n"/>
      <c r="Z221" s="16" t="n"/>
    </row>
    <row r="222" ht="12.75" customHeight="1" s="588">
      <c r="A222" s="595" t="n"/>
      <c r="K222" s="596" t="n"/>
      <c r="L222" s="16" t="n"/>
      <c r="M222" s="16" t="n"/>
      <c r="N222" s="16" t="n"/>
      <c r="O222" s="16" t="n"/>
      <c r="P222" s="16" t="n"/>
      <c r="Q222" s="16" t="n"/>
      <c r="R222" s="16" t="n"/>
      <c r="S222" s="16" t="n"/>
      <c r="T222" s="16" t="n"/>
      <c r="U222" s="16" t="n"/>
      <c r="V222" s="16" t="n"/>
      <c r="W222" s="16" t="n"/>
      <c r="X222" s="16" t="n"/>
      <c r="Y222" s="16" t="n"/>
      <c r="Z222" s="16" t="n"/>
    </row>
    <row r="223" ht="12.75" customHeight="1" s="588">
      <c r="A223" s="595" t="n"/>
      <c r="K223" s="596" t="n"/>
      <c r="L223" s="16" t="n"/>
      <c r="M223" s="16" t="n"/>
      <c r="N223" s="16" t="n"/>
      <c r="O223" s="16" t="n"/>
      <c r="P223" s="16" t="n"/>
      <c r="Q223" s="16" t="n"/>
      <c r="R223" s="16" t="n"/>
      <c r="S223" s="16" t="n"/>
      <c r="T223" s="16" t="n"/>
      <c r="U223" s="16" t="n"/>
      <c r="V223" s="16" t="n"/>
      <c r="W223" s="16" t="n"/>
      <c r="X223" s="16" t="n"/>
      <c r="Y223" s="16" t="n"/>
      <c r="Z223" s="16" t="n"/>
    </row>
    <row r="224" ht="12.75" customHeight="1" s="588">
      <c r="A224" s="595" t="n"/>
      <c r="K224" s="596" t="n"/>
      <c r="L224" s="16" t="n"/>
      <c r="M224" s="16" t="n"/>
      <c r="N224" s="16" t="n"/>
      <c r="O224" s="16" t="n"/>
      <c r="P224" s="16" t="n"/>
      <c r="Q224" s="16" t="n"/>
      <c r="R224" s="16" t="n"/>
      <c r="S224" s="16" t="n"/>
      <c r="T224" s="16" t="n"/>
      <c r="U224" s="16" t="n"/>
      <c r="V224" s="16" t="n"/>
      <c r="W224" s="16" t="n"/>
      <c r="X224" s="16" t="n"/>
      <c r="Y224" s="16" t="n"/>
      <c r="Z224" s="16" t="n"/>
    </row>
    <row r="225" ht="12.75" customHeight="1" s="588">
      <c r="A225" s="595" t="n"/>
      <c r="K225" s="596" t="n"/>
      <c r="L225" s="16" t="n"/>
      <c r="M225" s="16" t="n"/>
      <c r="N225" s="16" t="n"/>
      <c r="O225" s="16" t="n"/>
      <c r="P225" s="16" t="n"/>
      <c r="Q225" s="16" t="n"/>
      <c r="R225" s="16" t="n"/>
      <c r="S225" s="16" t="n"/>
      <c r="T225" s="16" t="n"/>
      <c r="U225" s="16" t="n"/>
      <c r="V225" s="16" t="n"/>
      <c r="W225" s="16" t="n"/>
      <c r="X225" s="16" t="n"/>
      <c r="Y225" s="16" t="n"/>
      <c r="Z225" s="16" t="n"/>
    </row>
    <row r="226" ht="12.75" customHeight="1" s="588">
      <c r="A226" s="595" t="n"/>
      <c r="K226" s="596" t="n"/>
      <c r="L226" s="16" t="n"/>
      <c r="M226" s="16" t="n"/>
      <c r="N226" s="16" t="n"/>
      <c r="O226" s="16" t="n"/>
      <c r="P226" s="16" t="n"/>
      <c r="Q226" s="16" t="n"/>
      <c r="R226" s="16" t="n"/>
      <c r="S226" s="16" t="n"/>
      <c r="T226" s="16" t="n"/>
      <c r="U226" s="16" t="n"/>
      <c r="V226" s="16" t="n"/>
      <c r="W226" s="16" t="n"/>
      <c r="X226" s="16" t="n"/>
      <c r="Y226" s="16" t="n"/>
      <c r="Z226" s="16" t="n"/>
    </row>
    <row r="227" ht="12.75" customHeight="1" s="588">
      <c r="A227" s="595" t="n"/>
      <c r="K227" s="596" t="n"/>
      <c r="L227" s="16" t="n"/>
      <c r="M227" s="16" t="n"/>
      <c r="N227" s="16" t="n"/>
      <c r="O227" s="16" t="n"/>
      <c r="P227" s="16" t="n"/>
      <c r="Q227" s="16" t="n"/>
      <c r="R227" s="16" t="n"/>
      <c r="S227" s="16" t="n"/>
      <c r="T227" s="16" t="n"/>
      <c r="U227" s="16" t="n"/>
      <c r="V227" s="16" t="n"/>
      <c r="W227" s="16" t="n"/>
      <c r="X227" s="16" t="n"/>
      <c r="Y227" s="16" t="n"/>
      <c r="Z227" s="16" t="n"/>
    </row>
    <row r="228" ht="12.75" customHeight="1" s="588">
      <c r="A228" s="595" t="n"/>
      <c r="K228" s="596" t="n"/>
      <c r="L228" s="16" t="n"/>
      <c r="M228" s="16" t="n"/>
      <c r="N228" s="16" t="n"/>
      <c r="O228" s="16" t="n"/>
      <c r="P228" s="16" t="n"/>
      <c r="Q228" s="16" t="n"/>
      <c r="R228" s="16" t="n"/>
      <c r="S228" s="16" t="n"/>
      <c r="T228" s="16" t="n"/>
      <c r="U228" s="16" t="n"/>
      <c r="V228" s="16" t="n"/>
      <c r="W228" s="16" t="n"/>
      <c r="X228" s="16" t="n"/>
      <c r="Y228" s="16" t="n"/>
      <c r="Z228" s="16" t="n"/>
    </row>
    <row r="229" ht="12.75" customHeight="1" s="588">
      <c r="A229" s="595" t="n"/>
      <c r="K229" s="596" t="n"/>
      <c r="L229" s="16" t="n"/>
      <c r="M229" s="16" t="n"/>
      <c r="N229" s="16" t="n"/>
      <c r="O229" s="16" t="n"/>
      <c r="P229" s="16" t="n"/>
      <c r="Q229" s="16" t="n"/>
      <c r="R229" s="16" t="n"/>
      <c r="S229" s="16" t="n"/>
      <c r="T229" s="16" t="n"/>
      <c r="U229" s="16" t="n"/>
      <c r="V229" s="16" t="n"/>
      <c r="W229" s="16" t="n"/>
      <c r="X229" s="16" t="n"/>
      <c r="Y229" s="16" t="n"/>
      <c r="Z229" s="16" t="n"/>
    </row>
    <row r="230" ht="12.75" customHeight="1" s="588">
      <c r="A230" s="595" t="n"/>
      <c r="K230" s="596" t="n"/>
      <c r="L230" s="16" t="n"/>
      <c r="M230" s="16" t="n"/>
      <c r="N230" s="16" t="n"/>
      <c r="O230" s="16" t="n"/>
      <c r="P230" s="16" t="n"/>
      <c r="Q230" s="16" t="n"/>
      <c r="R230" s="16" t="n"/>
      <c r="S230" s="16" t="n"/>
      <c r="T230" s="16" t="n"/>
      <c r="U230" s="16" t="n"/>
      <c r="V230" s="16" t="n"/>
      <c r="W230" s="16" t="n"/>
      <c r="X230" s="16" t="n"/>
      <c r="Y230" s="16" t="n"/>
      <c r="Z230" s="16" t="n"/>
    </row>
    <row r="231" ht="12.75" customHeight="1" s="588">
      <c r="A231" s="595" t="n"/>
      <c r="K231" s="596" t="n"/>
      <c r="L231" s="16" t="n"/>
      <c r="M231" s="16" t="n"/>
      <c r="N231" s="16" t="n"/>
      <c r="O231" s="16" t="n"/>
      <c r="P231" s="16" t="n"/>
      <c r="Q231" s="16" t="n"/>
      <c r="R231" s="16" t="n"/>
      <c r="S231" s="16" t="n"/>
      <c r="T231" s="16" t="n"/>
      <c r="U231" s="16" t="n"/>
      <c r="V231" s="16" t="n"/>
      <c r="W231" s="16" t="n"/>
      <c r="X231" s="16" t="n"/>
      <c r="Y231" s="16" t="n"/>
      <c r="Z231" s="16" t="n"/>
    </row>
    <row r="232" ht="12.75" customHeight="1" s="588">
      <c r="A232" s="597" t="n"/>
      <c r="B232" s="598" t="n"/>
      <c r="C232" s="598" t="n"/>
      <c r="D232" s="598" t="n"/>
      <c r="E232" s="598" t="n"/>
      <c r="F232" s="598" t="n"/>
      <c r="G232" s="598" t="n"/>
      <c r="H232" s="598" t="n"/>
      <c r="I232" s="598" t="n"/>
      <c r="J232" s="598" t="n"/>
      <c r="K232" s="599" t="n"/>
      <c r="L232" s="16" t="n"/>
      <c r="M232" s="16" t="n"/>
      <c r="N232" s="16" t="n"/>
      <c r="O232" s="16" t="n"/>
      <c r="P232" s="16" t="n"/>
      <c r="Q232" s="16" t="n"/>
      <c r="R232" s="16" t="n"/>
      <c r="S232" s="16" t="n"/>
      <c r="T232" s="16" t="n"/>
      <c r="U232" s="16" t="n"/>
      <c r="V232" s="16" t="n"/>
      <c r="W232" s="16" t="n"/>
      <c r="X232" s="16" t="n"/>
      <c r="Y232" s="16" t="n"/>
      <c r="Z232" s="16" t="n"/>
    </row>
    <row r="233" ht="12.75" customHeight="1" s="588">
      <c r="A233" s="1" t="n"/>
      <c r="B233" s="1" t="n"/>
      <c r="C233" s="1" t="n"/>
      <c r="D233" s="1" t="n"/>
      <c r="E233" s="1" t="n"/>
      <c r="F233" s="1" t="n"/>
      <c r="G233" s="1" t="n"/>
      <c r="H233" s="1" t="n"/>
      <c r="I233" s="1" t="n"/>
      <c r="J233" s="1" t="n"/>
      <c r="K233" s="1" t="n"/>
      <c r="L233" s="16" t="n"/>
      <c r="M233" s="16" t="n"/>
      <c r="N233" s="16" t="n"/>
      <c r="O233" s="16" t="n"/>
      <c r="P233" s="16" t="n"/>
      <c r="Q233" s="16" t="n"/>
      <c r="R233" s="16" t="n"/>
      <c r="S233" s="16" t="n"/>
      <c r="T233" s="16" t="n"/>
      <c r="U233" s="16" t="n"/>
      <c r="V233" s="16" t="n"/>
      <c r="W233" s="16" t="n"/>
      <c r="X233" s="16" t="n"/>
      <c r="Y233" s="16" t="n"/>
      <c r="Z233" s="16" t="n"/>
    </row>
    <row r="234" ht="12.75" customHeight="1" s="588">
      <c r="A234" s="1" t="n"/>
      <c r="B234" s="1" t="n"/>
      <c r="C234" s="1" t="n"/>
      <c r="D234" s="1" t="n"/>
      <c r="E234" s="1" t="n"/>
      <c r="F234" s="130" t="inlineStr">
        <is>
          <t>Logística</t>
        </is>
      </c>
      <c r="G234" s="1" t="n"/>
      <c r="H234" s="1" t="n"/>
      <c r="I234" s="1" t="n"/>
      <c r="J234" s="1" t="n"/>
      <c r="K234" s="1" t="n"/>
      <c r="L234" s="16" t="n"/>
      <c r="M234" s="16" t="n"/>
      <c r="N234" s="16" t="n"/>
      <c r="O234" s="16" t="n"/>
      <c r="P234" s="16" t="n"/>
      <c r="Q234" s="16" t="n"/>
      <c r="R234" s="16" t="n"/>
      <c r="S234" s="16" t="n"/>
      <c r="T234" s="16" t="n"/>
      <c r="U234" s="16" t="n"/>
      <c r="V234" s="16" t="n"/>
      <c r="W234" s="16" t="n"/>
      <c r="X234" s="16" t="n"/>
      <c r="Y234" s="16" t="n"/>
      <c r="Z234" s="16" t="n"/>
    </row>
    <row r="235" ht="12.75" customHeight="1" s="588">
      <c r="A235" s="698" t="inlineStr">
        <is>
          <t>LOGÍSTICA
No hay logística de mercancías: el entregable es digital. La única logística real es la del TIEMPO Y LOS DESPLAZAMIENTOS por la comarca.
ENTREGA: publicación en el servidor del cliente, traspaso documentado de credenciales (siempre después del cobro final) y sesión de formación básica.
DESPLAZAMIENTOS: visitas comerciales del Socio 2 y revisiones trimestrales presenciales en Ponferrada y comarca (Cacabelos, Villafranca, Camponaraya, Bembibre, Toreno). Se agrupan por zona para reducir tiempo y coste. Presupuesto: 70 EUR/mes.
PIEZAS FÍSICAS: cuando un proyecto de identidad visual incluye impresión (tarjetas, cartelería, rotulación), se subcontrata a imprenta local, que además actúa como prescriptor. No se almacena material impreso.</t>
        </is>
      </c>
      <c r="B235" s="593" t="n"/>
      <c r="C235" s="593" t="n"/>
      <c r="D235" s="593" t="n"/>
      <c r="E235" s="593" t="n"/>
      <c r="F235" s="593" t="n"/>
      <c r="G235" s="593" t="n"/>
      <c r="H235" s="593" t="n"/>
      <c r="I235" s="593" t="n"/>
      <c r="J235" s="593" t="n"/>
      <c r="K235" s="594" t="n"/>
      <c r="L235" s="16" t="n"/>
      <c r="M235" s="16" t="n"/>
      <c r="N235" s="16" t="n"/>
      <c r="O235" s="16" t="n"/>
      <c r="P235" s="16" t="n"/>
      <c r="Q235" s="16" t="n"/>
      <c r="R235" s="16" t="n"/>
      <c r="S235" s="16" t="n"/>
      <c r="T235" s="16" t="n"/>
      <c r="U235" s="16" t="n"/>
      <c r="V235" s="16" t="n"/>
      <c r="W235" s="16" t="n"/>
      <c r="X235" s="16" t="n"/>
      <c r="Y235" s="16" t="n"/>
      <c r="Z235" s="16" t="n"/>
    </row>
    <row r="236" ht="12.75" customHeight="1" s="588">
      <c r="A236" s="595" t="n"/>
      <c r="K236" s="596" t="n"/>
      <c r="L236" s="16" t="n"/>
      <c r="M236" s="16" t="n"/>
      <c r="N236" s="16" t="n"/>
      <c r="O236" s="16" t="n"/>
      <c r="P236" s="16" t="n"/>
      <c r="Q236" s="16" t="n"/>
      <c r="R236" s="16" t="n"/>
      <c r="S236" s="16" t="n"/>
      <c r="T236" s="16" t="n"/>
      <c r="U236" s="16" t="n"/>
      <c r="V236" s="16" t="n"/>
      <c r="W236" s="16" t="n"/>
      <c r="X236" s="16" t="n"/>
      <c r="Y236" s="16" t="n"/>
      <c r="Z236" s="16" t="n"/>
    </row>
    <row r="237" ht="12.75" customHeight="1" s="588">
      <c r="A237" s="595" t="n"/>
      <c r="K237" s="596" t="n"/>
      <c r="L237" s="16" t="n"/>
      <c r="M237" s="16" t="n"/>
      <c r="N237" s="16" t="n"/>
      <c r="O237" s="16" t="n"/>
      <c r="P237" s="16" t="n"/>
      <c r="Q237" s="16" t="n"/>
      <c r="R237" s="16" t="n"/>
      <c r="S237" s="16" t="n"/>
      <c r="T237" s="16" t="n"/>
      <c r="U237" s="16" t="n"/>
      <c r="V237" s="16" t="n"/>
      <c r="W237" s="16" t="n"/>
      <c r="X237" s="16" t="n"/>
      <c r="Y237" s="16" t="n"/>
      <c r="Z237" s="16" t="n"/>
    </row>
    <row r="238" ht="12.75" customHeight="1" s="588">
      <c r="A238" s="595" t="n"/>
      <c r="K238" s="596" t="n"/>
      <c r="L238" s="16" t="n"/>
      <c r="M238" s="16" t="n"/>
      <c r="N238" s="16" t="n"/>
      <c r="O238" s="16" t="n"/>
      <c r="P238" s="16" t="n"/>
      <c r="Q238" s="16" t="n"/>
      <c r="R238" s="16" t="n"/>
      <c r="S238" s="16" t="n"/>
      <c r="T238" s="16" t="n"/>
      <c r="U238" s="16" t="n"/>
      <c r="V238" s="16" t="n"/>
      <c r="W238" s="16" t="n"/>
      <c r="X238" s="16" t="n"/>
      <c r="Y238" s="16" t="n"/>
      <c r="Z238" s="16" t="n"/>
    </row>
    <row r="239" ht="12.75" customHeight="1" s="588">
      <c r="A239" s="595" t="n"/>
      <c r="K239" s="596" t="n"/>
      <c r="L239" s="16" t="n"/>
      <c r="M239" s="16" t="n"/>
      <c r="N239" s="16" t="n"/>
      <c r="O239" s="16" t="n"/>
      <c r="P239" s="16" t="n"/>
      <c r="Q239" s="16" t="n"/>
      <c r="R239" s="16" t="n"/>
      <c r="S239" s="16" t="n"/>
      <c r="T239" s="16" t="n"/>
      <c r="U239" s="16" t="n"/>
      <c r="V239" s="16" t="n"/>
      <c r="W239" s="16" t="n"/>
      <c r="X239" s="16" t="n"/>
      <c r="Y239" s="16" t="n"/>
      <c r="Z239" s="16" t="n"/>
    </row>
    <row r="240" ht="12.75" customHeight="1" s="588">
      <c r="A240" s="595" t="n"/>
      <c r="K240" s="596" t="n"/>
      <c r="L240" s="16" t="n"/>
      <c r="M240" s="16" t="n"/>
      <c r="N240" s="16" t="n"/>
      <c r="O240" s="16" t="n"/>
      <c r="P240" s="16" t="n"/>
      <c r="Q240" s="16" t="n"/>
      <c r="R240" s="16" t="n"/>
      <c r="S240" s="16" t="n"/>
      <c r="T240" s="16" t="n"/>
      <c r="U240" s="16" t="n"/>
      <c r="V240" s="16" t="n"/>
      <c r="W240" s="16" t="n"/>
      <c r="X240" s="16" t="n"/>
      <c r="Y240" s="16" t="n"/>
      <c r="Z240" s="16" t="n"/>
    </row>
    <row r="241" ht="12.75" customHeight="1" s="588">
      <c r="A241" s="595" t="n"/>
      <c r="K241" s="596" t="n"/>
      <c r="L241" s="16" t="n"/>
      <c r="M241" s="16" t="n"/>
      <c r="N241" s="16" t="n"/>
      <c r="O241" s="16" t="n"/>
      <c r="P241" s="16" t="n"/>
      <c r="Q241" s="16" t="n"/>
      <c r="R241" s="16" t="n"/>
      <c r="S241" s="16" t="n"/>
      <c r="T241" s="16" t="n"/>
      <c r="U241" s="16" t="n"/>
      <c r="V241" s="16" t="n"/>
      <c r="W241" s="16" t="n"/>
      <c r="X241" s="16" t="n"/>
      <c r="Y241" s="16" t="n"/>
      <c r="Z241" s="16" t="n"/>
    </row>
    <row r="242" ht="12.75" customHeight="1" s="588">
      <c r="A242" s="595" t="n"/>
      <c r="K242" s="596" t="n"/>
      <c r="L242" s="16" t="n"/>
      <c r="M242" s="16" t="n"/>
      <c r="N242" s="16" t="n"/>
      <c r="O242" s="16" t="n"/>
      <c r="P242" s="16" t="n"/>
      <c r="Q242" s="16" t="n"/>
      <c r="R242" s="16" t="n"/>
      <c r="S242" s="16" t="n"/>
      <c r="T242" s="16" t="n"/>
      <c r="U242" s="16" t="n"/>
      <c r="V242" s="16" t="n"/>
      <c r="W242" s="16" t="n"/>
      <c r="X242" s="16" t="n"/>
      <c r="Y242" s="16" t="n"/>
      <c r="Z242" s="16" t="n"/>
    </row>
    <row r="243" ht="12.75" customHeight="1" s="588">
      <c r="A243" s="595" t="n"/>
      <c r="K243" s="596" t="n"/>
      <c r="L243" s="16" t="n"/>
      <c r="M243" s="16" t="n"/>
      <c r="N243" s="16" t="n"/>
      <c r="O243" s="16" t="n"/>
      <c r="P243" s="16" t="n"/>
      <c r="Q243" s="16" t="n"/>
      <c r="R243" s="16" t="n"/>
      <c r="S243" s="16" t="n"/>
      <c r="T243" s="16" t="n"/>
      <c r="U243" s="16" t="n"/>
      <c r="V243" s="16" t="n"/>
      <c r="W243" s="16" t="n"/>
      <c r="X243" s="16" t="n"/>
      <c r="Y243" s="16" t="n"/>
      <c r="Z243" s="16" t="n"/>
    </row>
    <row r="244" ht="12.75" customHeight="1" s="588">
      <c r="A244" s="595" t="n"/>
      <c r="K244" s="596" t="n"/>
      <c r="L244" s="16" t="n"/>
      <c r="M244" s="16" t="n"/>
      <c r="N244" s="16" t="n"/>
      <c r="O244" s="16" t="n"/>
      <c r="P244" s="16" t="n"/>
      <c r="Q244" s="16" t="n"/>
      <c r="R244" s="16" t="n"/>
      <c r="S244" s="16" t="n"/>
      <c r="T244" s="16" t="n"/>
      <c r="U244" s="16" t="n"/>
      <c r="V244" s="16" t="n"/>
      <c r="W244" s="16" t="n"/>
      <c r="X244" s="16" t="n"/>
      <c r="Y244" s="16" t="n"/>
      <c r="Z244" s="16" t="n"/>
    </row>
    <row r="245" ht="12.75" customHeight="1" s="588">
      <c r="A245" s="595" t="n"/>
      <c r="K245" s="596" t="n"/>
      <c r="L245" s="16" t="n"/>
      <c r="M245" s="16" t="n"/>
      <c r="N245" s="16" t="n"/>
      <c r="O245" s="16" t="n"/>
      <c r="P245" s="16" t="n"/>
      <c r="Q245" s="16" t="n"/>
      <c r="R245" s="16" t="n"/>
      <c r="S245" s="16" t="n"/>
      <c r="T245" s="16" t="n"/>
      <c r="U245" s="16" t="n"/>
      <c r="V245" s="16" t="n"/>
      <c r="W245" s="16" t="n"/>
      <c r="X245" s="16" t="n"/>
      <c r="Y245" s="16" t="n"/>
      <c r="Z245" s="16" t="n"/>
    </row>
    <row r="246" ht="12.75" customHeight="1" s="588">
      <c r="A246" s="595" t="n"/>
      <c r="K246" s="596" t="n"/>
      <c r="L246" s="16" t="n"/>
      <c r="M246" s="16" t="n"/>
      <c r="N246" s="16" t="n"/>
      <c r="O246" s="16" t="n"/>
      <c r="P246" s="16" t="n"/>
      <c r="Q246" s="16" t="n"/>
      <c r="R246" s="16" t="n"/>
      <c r="S246" s="16" t="n"/>
      <c r="T246" s="16" t="n"/>
      <c r="U246" s="16" t="n"/>
      <c r="V246" s="16" t="n"/>
      <c r="W246" s="16" t="n"/>
      <c r="X246" s="16" t="n"/>
      <c r="Y246" s="16" t="n"/>
      <c r="Z246" s="16" t="n"/>
    </row>
    <row r="247" ht="12.75" customHeight="1" s="588">
      <c r="A247" s="595" t="n"/>
      <c r="K247" s="596" t="n"/>
      <c r="L247" s="16" t="n"/>
      <c r="M247" s="16" t="n"/>
      <c r="N247" s="16" t="n"/>
      <c r="O247" s="16" t="n"/>
      <c r="P247" s="16" t="n"/>
      <c r="Q247" s="16" t="n"/>
      <c r="R247" s="16" t="n"/>
      <c r="S247" s="16" t="n"/>
      <c r="T247" s="16" t="n"/>
      <c r="U247" s="16" t="n"/>
      <c r="V247" s="16" t="n"/>
      <c r="W247" s="16" t="n"/>
      <c r="X247" s="16" t="n"/>
      <c r="Y247" s="16" t="n"/>
      <c r="Z247" s="16" t="n"/>
    </row>
    <row r="248" ht="12.75" customHeight="1" s="588">
      <c r="A248" s="597" t="n"/>
      <c r="B248" s="598" t="n"/>
      <c r="C248" s="598" t="n"/>
      <c r="D248" s="598" t="n"/>
      <c r="E248" s="598" t="n"/>
      <c r="F248" s="598" t="n"/>
      <c r="G248" s="598" t="n"/>
      <c r="H248" s="598" t="n"/>
      <c r="I248" s="598" t="n"/>
      <c r="J248" s="598" t="n"/>
      <c r="K248" s="599" t="n"/>
    </row>
    <row r="249" ht="12.75" customHeight="1" s="588">
      <c r="A249" s="1" t="n"/>
      <c r="B249" s="1" t="n"/>
      <c r="C249" s="1" t="n"/>
      <c r="D249" s="1" t="n"/>
      <c r="E249" s="1" t="n"/>
      <c r="F249" s="1" t="n"/>
      <c r="G249" s="1" t="n"/>
      <c r="H249" s="1" t="n"/>
      <c r="I249" s="1" t="n"/>
      <c r="J249" s="1" t="n"/>
      <c r="K249" s="1" t="n"/>
    </row>
    <row r="250" ht="12.75" customHeight="1" s="588">
      <c r="A250" s="8" t="inlineStr">
        <is>
          <t>¿CÓMO?</t>
        </is>
      </c>
      <c r="B250" s="1" t="n"/>
      <c r="C250" s="1" t="n"/>
      <c r="D250" s="1" t="n"/>
      <c r="E250" s="1" t="n"/>
      <c r="F250" s="1" t="n"/>
      <c r="G250" s="1" t="n"/>
      <c r="H250" s="1" t="n"/>
      <c r="I250" s="1" t="n"/>
      <c r="J250" s="1" t="n"/>
      <c r="K250" s="185" t="inlineStr">
        <is>
          <t>Plan de Infraestructura Informática y Marketing Digital</t>
        </is>
      </c>
    </row>
    <row r="251" ht="12.75" customHeight="1" s="588">
      <c r="A251" s="1" t="n"/>
      <c r="B251" s="1" t="n"/>
      <c r="C251" s="1" t="n"/>
      <c r="D251" s="1" t="n"/>
      <c r="E251" s="1" t="n"/>
      <c r="F251" s="1" t="n"/>
      <c r="G251" s="1" t="n"/>
      <c r="H251" s="1" t="n"/>
      <c r="I251" s="1" t="n"/>
      <c r="J251" s="1" t="n"/>
      <c r="K251" s="1" t="n"/>
    </row>
    <row r="252" ht="12.75" customHeight="1" s="588">
      <c r="A252" s="1" t="n"/>
      <c r="B252" s="1" t="n"/>
      <c r="C252" s="1" t="n"/>
      <c r="D252" s="1" t="n"/>
      <c r="E252" s="1" t="n"/>
      <c r="F252" s="1" t="n"/>
      <c r="G252" s="130" t="inlineStr">
        <is>
          <t>Infraestructura Informática</t>
        </is>
      </c>
      <c r="H252" s="1" t="n"/>
      <c r="I252" s="1" t="n"/>
      <c r="J252" s="1" t="n"/>
      <c r="K252" s="1" t="n"/>
    </row>
    <row r="253" ht="12.75" customHeight="1" s="588">
      <c r="A253" s="1" t="n"/>
      <c r="B253" s="1" t="n"/>
      <c r="C253" s="44" t="inlineStr">
        <is>
          <t>Descripción</t>
        </is>
      </c>
      <c r="F253" s="44" t="inlineStr">
        <is>
          <t>Inversiones Iniciales</t>
        </is>
      </c>
      <c r="H253" s="44" t="inlineStr">
        <is>
          <t>Inversiones Año 2</t>
        </is>
      </c>
      <c r="J253" s="44" t="inlineStr">
        <is>
          <t>Inversiones Año 3</t>
        </is>
      </c>
    </row>
    <row r="254" ht="12.75" customHeight="1" s="588">
      <c r="A254" s="182" t="inlineStr">
        <is>
          <t>HARDWARE</t>
        </is>
      </c>
      <c r="C254" s="661" t="inlineStr">
        <is>
          <t>Portatil de producción, monitor secundario, impresora/escaner, smartphone</t>
        </is>
      </c>
      <c r="D254" s="593" t="n"/>
      <c r="E254" s="594" t="n"/>
      <c r="F254" s="699" t="n">
        <v>1900</v>
      </c>
      <c r="G254" s="594" t="n"/>
      <c r="H254" s="699" t="n"/>
      <c r="I254" s="594" t="n"/>
      <c r="J254" s="699" t="n"/>
      <c r="K254" s="594" t="n"/>
    </row>
    <row r="255" ht="12.75" customHeight="1" s="588">
      <c r="C255" s="595" t="n"/>
      <c r="E255" s="596" t="n"/>
      <c r="F255" s="595" t="n"/>
      <c r="G255" s="596" t="n"/>
      <c r="H255" s="595" t="n"/>
      <c r="I255" s="596" t="n"/>
      <c r="J255" s="595" t="n"/>
      <c r="K255" s="596" t="n"/>
    </row>
    <row r="256" ht="12.75" customHeight="1" s="588">
      <c r="C256" s="595" t="n"/>
      <c r="E256" s="596" t="n"/>
      <c r="F256" s="595" t="n"/>
      <c r="G256" s="596" t="n"/>
      <c r="H256" s="595" t="n"/>
      <c r="I256" s="596" t="n"/>
      <c r="J256" s="595" t="n"/>
      <c r="K256" s="596" t="n"/>
    </row>
    <row r="257" ht="12.75" customHeight="1" s="588">
      <c r="C257" s="597" t="n"/>
      <c r="D257" s="598" t="n"/>
      <c r="E257" s="599" t="n"/>
      <c r="F257" s="597" t="n"/>
      <c r="G257" s="599" t="n"/>
      <c r="H257" s="597" t="n"/>
      <c r="I257" s="599" t="n"/>
      <c r="J257" s="597" t="n"/>
      <c r="K257" s="599" t="n"/>
    </row>
    <row r="258" ht="12.75" customHeight="1" s="588">
      <c r="A258" s="1" t="n"/>
      <c r="B258" s="1" t="n"/>
      <c r="C258" s="1" t="n"/>
      <c r="D258" s="1" t="n"/>
      <c r="E258" s="1" t="n"/>
      <c r="F258" s="1" t="n"/>
      <c r="G258" s="1" t="n"/>
      <c r="H258" s="1" t="n"/>
      <c r="I258" s="1" t="n"/>
      <c r="J258" s="1" t="n"/>
      <c r="K258" s="1" t="n"/>
    </row>
    <row r="259" ht="12.75" customHeight="1" s="588">
      <c r="A259" s="700" t="inlineStr">
        <is>
          <t>SOFTWARE</t>
        </is>
      </c>
      <c r="B259" s="596" t="n"/>
      <c r="C259" s="661" t="inlineStr">
        <is>
          <t>Licencias iniciales, WordPress premium, plugins y plantillas base</t>
        </is>
      </c>
      <c r="D259" s="593" t="n"/>
      <c r="E259" s="594" t="n"/>
      <c r="F259" s="699" t="n">
        <v>600</v>
      </c>
      <c r="G259" s="594" t="n"/>
      <c r="H259" s="699" t="n"/>
      <c r="I259" s="594" t="n"/>
      <c r="J259" s="699" t="n"/>
      <c r="K259" s="594" t="n"/>
    </row>
    <row r="260" ht="12.75" customHeight="1" s="588">
      <c r="B260" s="596" t="n"/>
      <c r="C260" s="595" t="n"/>
      <c r="E260" s="596" t="n"/>
      <c r="F260" s="595" t="n"/>
      <c r="G260" s="596" t="n"/>
      <c r="H260" s="595" t="n"/>
      <c r="I260" s="596" t="n"/>
      <c r="J260" s="595" t="n"/>
      <c r="K260" s="596" t="n"/>
    </row>
    <row r="261" ht="12.75" customHeight="1" s="588">
      <c r="B261" s="596" t="n"/>
      <c r="C261" s="595" t="n"/>
      <c r="E261" s="596" t="n"/>
      <c r="F261" s="595" t="n"/>
      <c r="G261" s="596" t="n"/>
      <c r="H261" s="595" t="n"/>
      <c r="I261" s="596" t="n"/>
      <c r="J261" s="595" t="n"/>
      <c r="K261" s="596" t="n"/>
    </row>
    <row r="262" ht="12.75" customHeight="1" s="588">
      <c r="B262" s="596" t="n"/>
      <c r="C262" s="597" t="n"/>
      <c r="D262" s="598" t="n"/>
      <c r="E262" s="599" t="n"/>
      <c r="F262" s="597" t="n"/>
      <c r="G262" s="599" t="n"/>
      <c r="H262" s="597" t="n"/>
      <c r="I262" s="599" t="n"/>
      <c r="J262" s="597" t="n"/>
      <c r="K262" s="599" t="n"/>
    </row>
    <row r="263" ht="12.75" customHeight="1" s="588">
      <c r="A263" s="1" t="n"/>
      <c r="B263" s="1" t="n"/>
      <c r="C263" s="1" t="n"/>
      <c r="D263" s="1" t="n"/>
      <c r="E263" s="1" t="n"/>
      <c r="F263" s="1" t="n"/>
      <c r="G263" s="1" t="n"/>
      <c r="H263" s="1" t="n"/>
      <c r="I263" s="1" t="n"/>
      <c r="J263" s="1" t="n"/>
      <c r="K263" s="1" t="n"/>
    </row>
    <row r="264" ht="12.75" customHeight="1" s="588">
      <c r="A264" s="700" t="inlineStr">
        <is>
          <t>PÁGINA WEB</t>
        </is>
      </c>
      <c r="B264" s="596" t="n"/>
      <c r="C264" s="661" t="inlineStr">
        <is>
          <t>Desarrollo propio (no se activa: horas de la fundadora)</t>
        </is>
      </c>
      <c r="D264" s="593" t="n"/>
      <c r="E264" s="594" t="n"/>
      <c r="F264" s="699" t="n"/>
      <c r="G264" s="594" t="n"/>
      <c r="H264" s="699" t="n"/>
      <c r="I264" s="594" t="n"/>
      <c r="J264" s="699" t="n"/>
      <c r="K264" s="594" t="n"/>
    </row>
    <row r="265" ht="12.75" customHeight="1" s="588">
      <c r="B265" s="596" t="n"/>
      <c r="C265" s="595" t="n"/>
      <c r="E265" s="596" t="n"/>
      <c r="F265" s="595" t="n"/>
      <c r="G265" s="596" t="n"/>
      <c r="H265" s="595" t="n"/>
      <c r="I265" s="596" t="n"/>
      <c r="J265" s="595" t="n"/>
      <c r="K265" s="596" t="n"/>
    </row>
    <row r="266" ht="12.75" customHeight="1" s="588">
      <c r="B266" s="596" t="n"/>
      <c r="C266" s="595" t="n"/>
      <c r="E266" s="596" t="n"/>
      <c r="F266" s="595" t="n"/>
      <c r="G266" s="596" t="n"/>
      <c r="H266" s="595" t="n"/>
      <c r="I266" s="596" t="n"/>
      <c r="J266" s="595" t="n"/>
      <c r="K266" s="596" t="n"/>
    </row>
    <row r="267" ht="12.75" customHeight="1" s="588">
      <c r="B267" s="596" t="n"/>
      <c r="C267" s="597" t="n"/>
      <c r="D267" s="598" t="n"/>
      <c r="E267" s="599" t="n"/>
      <c r="F267" s="597" t="n"/>
      <c r="G267" s="599" t="n"/>
      <c r="H267" s="597" t="n"/>
      <c r="I267" s="599" t="n"/>
      <c r="J267" s="597" t="n"/>
      <c r="K267" s="599" t="n"/>
    </row>
    <row r="268" ht="12.75" customHeight="1" s="588">
      <c r="A268" s="1" t="n"/>
      <c r="B268" s="1" t="n"/>
      <c r="C268" s="1" t="n"/>
      <c r="D268" s="1" t="n"/>
      <c r="E268" s="1" t="n"/>
      <c r="F268" s="1" t="n"/>
      <c r="G268" s="1" t="n"/>
      <c r="H268" s="1" t="n"/>
      <c r="I268" s="1" t="n"/>
      <c r="J268" s="1" t="n"/>
      <c r="K268" s="1" t="n"/>
      <c r="L268" s="16" t="n"/>
      <c r="M268" s="16" t="n"/>
      <c r="N268" s="16" t="n"/>
      <c r="O268" s="16" t="n"/>
      <c r="P268" s="16" t="n"/>
      <c r="Q268" s="16" t="n"/>
      <c r="R268" s="16" t="n"/>
      <c r="S268" s="16" t="n"/>
      <c r="T268" s="16" t="n"/>
      <c r="U268" s="16" t="n"/>
      <c r="V268" s="16" t="n"/>
      <c r="W268" s="16" t="n"/>
      <c r="X268" s="16" t="n"/>
      <c r="Y268" s="16" t="n"/>
      <c r="Z268" s="16" t="n"/>
    </row>
    <row r="269" ht="12.75" customHeight="1" s="588">
      <c r="A269" s="1" t="n"/>
      <c r="B269" s="1" t="n"/>
      <c r="C269" s="1" t="n"/>
      <c r="D269" s="1" t="n"/>
      <c r="E269" s="1" t="n"/>
      <c r="F269" s="1" t="n"/>
      <c r="G269" s="130" t="inlineStr">
        <is>
          <t>Licencias periódicas de SW</t>
        </is>
      </c>
      <c r="H269" s="1" t="n"/>
      <c r="I269" s="1" t="n"/>
      <c r="J269" s="1" t="n"/>
      <c r="K269" s="1" t="n"/>
      <c r="L269" s="16" t="n"/>
      <c r="M269" s="16" t="n"/>
      <c r="N269" s="16" t="n"/>
      <c r="O269" s="16" t="n"/>
      <c r="P269" s="16" t="n"/>
      <c r="Q269" s="16" t="n"/>
      <c r="R269" s="16" t="n"/>
      <c r="S269" s="16" t="n"/>
      <c r="T269" s="16" t="n"/>
      <c r="U269" s="16" t="n"/>
      <c r="V269" s="16" t="n"/>
      <c r="W269" s="16" t="n"/>
      <c r="X269" s="16" t="n"/>
      <c r="Y269" s="16" t="n"/>
      <c r="Z269" s="16" t="n"/>
    </row>
    <row r="270" ht="12.75" customHeight="1" s="588">
      <c r="A270" s="1" t="n"/>
      <c r="B270" s="1" t="n"/>
      <c r="C270" s="44" t="n"/>
      <c r="F270" s="44" t="inlineStr">
        <is>
          <t>Descripción</t>
        </is>
      </c>
      <c r="I270" s="178" t="inlineStr">
        <is>
          <t>Coste Anual</t>
        </is>
      </c>
      <c r="K270" s="1" t="n"/>
      <c r="L270" s="16" t="n"/>
      <c r="M270" s="16" t="n"/>
      <c r="N270" s="16" t="n"/>
      <c r="O270" s="16" t="n"/>
      <c r="P270" s="16" t="n"/>
      <c r="Q270" s="16" t="n"/>
      <c r="R270" s="16" t="n"/>
      <c r="S270" s="16" t="n"/>
      <c r="T270" s="16" t="n"/>
      <c r="U270" s="16" t="n"/>
      <c r="V270" s="16" t="n"/>
      <c r="W270" s="16" t="n"/>
      <c r="X270" s="16" t="n"/>
      <c r="Y270" s="16" t="n"/>
      <c r="Z270" s="16" t="n"/>
    </row>
    <row r="271" ht="12.75" customHeight="1" s="588">
      <c r="A271" s="182" t="n"/>
      <c r="B271" s="182" t="n"/>
      <c r="C271" s="182" t="n"/>
      <c r="D271" s="701" t="inlineStr">
        <is>
          <t>Licencias</t>
        </is>
      </c>
      <c r="E271" s="594" t="n"/>
      <c r="F271" s="643" t="inlineStr">
        <is>
          <t>Adobe CC, Figma, herramientas SEO local, IA generativa, hosting y dominios propios, copias de seguridad</t>
        </is>
      </c>
      <c r="G271" s="593" t="n"/>
      <c r="H271" s="594" t="n"/>
      <c r="I271" s="699" t="n">
        <v>2400</v>
      </c>
      <c r="J271" s="594" t="n"/>
      <c r="K271" s="229" t="n"/>
      <c r="L271" s="16" t="n"/>
      <c r="M271" s="16" t="n"/>
      <c r="N271" s="16" t="n"/>
      <c r="O271" s="16" t="n"/>
      <c r="P271" s="16" t="n"/>
      <c r="Q271" s="16" t="n"/>
      <c r="R271" s="16" t="n"/>
      <c r="S271" s="16" t="n"/>
      <c r="T271" s="16" t="n"/>
      <c r="U271" s="16" t="n"/>
      <c r="V271" s="16" t="n"/>
      <c r="W271" s="16" t="n"/>
      <c r="X271" s="16" t="n"/>
      <c r="Y271" s="16" t="n"/>
      <c r="Z271" s="16" t="n"/>
    </row>
    <row r="272" ht="12.75" customHeight="1" s="588">
      <c r="A272" s="182" t="n"/>
      <c r="B272" s="182" t="n"/>
      <c r="C272" s="182" t="n"/>
      <c r="D272" s="597" t="n"/>
      <c r="E272" s="599" t="n"/>
      <c r="F272" s="597" t="n"/>
      <c r="G272" s="598" t="n"/>
      <c r="H272" s="599" t="n"/>
      <c r="I272" s="597" t="n"/>
      <c r="J272" s="599" t="n"/>
      <c r="K272" s="229" t="n"/>
      <c r="L272" s="16" t="n"/>
      <c r="M272" s="16" t="n"/>
      <c r="N272" s="16" t="n"/>
      <c r="O272" s="16" t="n"/>
      <c r="P272" s="16" t="n"/>
      <c r="Q272" s="16" t="n"/>
      <c r="R272" s="16" t="n"/>
      <c r="S272" s="16" t="n"/>
      <c r="T272" s="16" t="n"/>
      <c r="U272" s="16" t="n"/>
      <c r="V272" s="16" t="n"/>
      <c r="W272" s="16" t="n"/>
      <c r="X272" s="16" t="n"/>
      <c r="Y272" s="16" t="n"/>
      <c r="Z272" s="16" t="n"/>
    </row>
    <row r="273" ht="12.75" customHeight="1" s="588">
      <c r="A273" s="1" t="n"/>
      <c r="B273" s="1" t="n"/>
      <c r="C273" s="1" t="n"/>
      <c r="D273" s="1" t="n"/>
      <c r="E273" s="1" t="n"/>
      <c r="F273" s="1" t="n"/>
      <c r="G273" s="1" t="n"/>
      <c r="H273" s="1" t="n"/>
      <c r="I273" s="1" t="n"/>
      <c r="J273" s="1" t="n"/>
      <c r="K273" s="1" t="n"/>
      <c r="L273" s="16" t="n"/>
      <c r="M273" s="16" t="n"/>
      <c r="N273" s="16" t="n"/>
      <c r="O273" s="16" t="n"/>
      <c r="P273" s="16" t="n"/>
      <c r="Q273" s="16" t="n"/>
      <c r="R273" s="16" t="n"/>
      <c r="S273" s="16" t="n"/>
      <c r="T273" s="16" t="n"/>
      <c r="U273" s="16" t="n"/>
      <c r="V273" s="16" t="n"/>
      <c r="W273" s="16" t="n"/>
      <c r="X273" s="16" t="n"/>
      <c r="Y273" s="16" t="n"/>
      <c r="Z273" s="16" t="n"/>
    </row>
    <row r="274" ht="12.75" customHeight="1" s="588">
      <c r="A274" s="1" t="n"/>
      <c r="B274" s="1" t="n"/>
      <c r="C274" s="1" t="n"/>
      <c r="D274" s="1" t="n"/>
      <c r="E274" s="1" t="n"/>
      <c r="F274" s="1" t="n"/>
      <c r="G274" s="130" t="inlineStr">
        <is>
          <t>Gastos de Marketing Digital</t>
        </is>
      </c>
      <c r="H274" s="1" t="n"/>
      <c r="I274" s="1" t="n"/>
      <c r="J274" s="1" t="n"/>
      <c r="K274" s="1" t="n"/>
      <c r="L274" s="16" t="n"/>
      <c r="M274" s="16" t="n"/>
      <c r="N274" s="16" t="n"/>
      <c r="O274" s="16" t="n"/>
      <c r="P274" s="16" t="n"/>
      <c r="Q274" s="16" t="n"/>
      <c r="R274" s="16" t="n"/>
      <c r="S274" s="16" t="n"/>
      <c r="T274" s="16" t="n"/>
      <c r="U274" s="16" t="n"/>
      <c r="V274" s="16" t="n"/>
      <c r="W274" s="16" t="n"/>
      <c r="X274" s="16" t="n"/>
      <c r="Y274" s="16" t="n"/>
      <c r="Z274" s="16" t="n"/>
    </row>
    <row r="275" ht="12.75" customHeight="1" s="588">
      <c r="A275" s="1" t="n"/>
      <c r="B275" s="1" t="n"/>
      <c r="C275" s="1" t="n"/>
      <c r="D275" s="44" t="inlineStr">
        <is>
          <t>Acciones</t>
        </is>
      </c>
      <c r="F275" s="1" t="n"/>
      <c r="G275" s="44" t="inlineStr">
        <is>
          <t>Gastos al Inicio</t>
        </is>
      </c>
      <c r="I275" s="44" t="inlineStr">
        <is>
          <t>Gastos Año 1</t>
        </is>
      </c>
      <c r="K275" s="1" t="n"/>
    </row>
    <row r="276" ht="12.75" customHeight="1" s="588">
      <c r="A276" s="700" t="n"/>
      <c r="B276" s="596" t="n"/>
      <c r="C276" s="661" t="inlineStr">
        <is>
          <t>Hosting, SEO local, Google Business, campañas segmentadas en la comarca</t>
        </is>
      </c>
      <c r="D276" s="593" t="n"/>
      <c r="E276" s="593" t="n"/>
      <c r="F276" s="594" t="n"/>
      <c r="G276" s="699" t="n">
        <v>600</v>
      </c>
      <c r="H276" s="594" t="n"/>
      <c r="I276" s="699" t="n">
        <v>1400</v>
      </c>
      <c r="J276" s="594" t="n"/>
      <c r="K276" s="1" t="n"/>
    </row>
    <row r="277" ht="12.75" customHeight="1" s="588">
      <c r="B277" s="596" t="n"/>
      <c r="C277" s="595" t="n"/>
      <c r="F277" s="596" t="n"/>
      <c r="G277" s="595" t="n"/>
      <c r="H277" s="596" t="n"/>
      <c r="I277" s="595" t="n"/>
      <c r="J277" s="596" t="n"/>
      <c r="K277" s="1" t="n"/>
    </row>
    <row r="278" ht="12.75" customHeight="1" s="588">
      <c r="B278" s="596" t="n"/>
      <c r="C278" s="595" t="n"/>
      <c r="F278" s="596" t="n"/>
      <c r="G278" s="595" t="n"/>
      <c r="H278" s="596" t="n"/>
      <c r="I278" s="595" t="n"/>
      <c r="J278" s="596" t="n"/>
      <c r="K278" s="1" t="n"/>
    </row>
    <row r="279" ht="12.75" customHeight="1" s="588">
      <c r="B279" s="596" t="n"/>
      <c r="C279" s="597" t="n"/>
      <c r="D279" s="598" t="n"/>
      <c r="E279" s="598" t="n"/>
      <c r="F279" s="599" t="n"/>
      <c r="G279" s="597" t="n"/>
      <c r="H279" s="599" t="n"/>
      <c r="I279" s="597" t="n"/>
      <c r="J279" s="599" t="n"/>
      <c r="K279" s="1" t="n"/>
    </row>
    <row r="280" ht="12.75" customHeight="1" s="588">
      <c r="A280" s="1" t="n"/>
      <c r="B280" s="1" t="n"/>
      <c r="C280" s="1" t="n"/>
      <c r="D280" s="1" t="n"/>
      <c r="E280" s="1" t="n"/>
      <c r="F280" s="1" t="n"/>
      <c r="G280" s="1" t="n"/>
      <c r="H280" s="1" t="n"/>
      <c r="I280" s="1" t="n"/>
      <c r="J280" s="1" t="n"/>
      <c r="K280" s="1" t="n"/>
      <c r="L280" s="16" t="n"/>
      <c r="M280" s="16" t="n"/>
      <c r="N280" s="16" t="n"/>
      <c r="O280" s="16" t="n"/>
      <c r="P280" s="16" t="n"/>
      <c r="Q280" s="16" t="n"/>
      <c r="R280" s="16" t="n"/>
      <c r="S280" s="16" t="n"/>
      <c r="T280" s="16" t="n"/>
      <c r="U280" s="16" t="n"/>
      <c r="V280" s="16" t="n"/>
      <c r="W280" s="16" t="n"/>
      <c r="X280" s="16" t="n"/>
      <c r="Y280" s="16" t="n"/>
      <c r="Z280" s="16" t="n"/>
    </row>
    <row r="281" ht="12.75" customHeight="1" s="588">
      <c r="A281" s="8" t="inlineStr">
        <is>
          <t>¿CÓMO?</t>
        </is>
      </c>
      <c r="B281" s="1" t="n"/>
      <c r="C281" s="1" t="n"/>
      <c r="D281" s="1" t="n"/>
      <c r="E281" s="1" t="n"/>
      <c r="F281" s="1" t="n"/>
      <c r="G281" s="1" t="n"/>
      <c r="H281" s="1" t="n"/>
      <c r="I281" s="1" t="n"/>
      <c r="J281" s="1" t="n"/>
      <c r="K281" s="185" t="inlineStr">
        <is>
          <t>Plan de Infraestructura Informática y Marketing Digital</t>
        </is>
      </c>
      <c r="L281" s="16" t="n"/>
      <c r="M281" s="16" t="n"/>
      <c r="N281" s="16" t="n"/>
      <c r="O281" s="16" t="n"/>
      <c r="P281" s="16" t="n"/>
      <c r="Q281" s="16" t="n"/>
      <c r="R281" s="16" t="n"/>
      <c r="S281" s="16" t="n"/>
      <c r="T281" s="16" t="n"/>
      <c r="U281" s="16" t="n"/>
      <c r="V281" s="16" t="n"/>
      <c r="W281" s="16" t="n"/>
      <c r="X281" s="16" t="n"/>
      <c r="Y281" s="16" t="n"/>
      <c r="Z281" s="16" t="n"/>
    </row>
    <row r="282" ht="12.75" customHeight="1" s="588">
      <c r="A282" s="1" t="n"/>
      <c r="B282" s="1" t="n"/>
      <c r="C282" s="1" t="n"/>
      <c r="D282" s="1" t="n"/>
      <c r="E282" s="1" t="n"/>
      <c r="F282" s="1" t="n"/>
      <c r="G282" s="1" t="n"/>
      <c r="H282" s="1" t="n"/>
      <c r="I282" s="1" t="n"/>
      <c r="J282" s="1" t="n"/>
      <c r="K282" s="1" t="n"/>
      <c r="L282" s="16" t="n"/>
      <c r="M282" s="16" t="n"/>
      <c r="N282" s="16" t="n"/>
      <c r="O282" s="16" t="n"/>
      <c r="P282" s="16" t="n"/>
      <c r="Q282" s="16" t="n"/>
      <c r="R282" s="16" t="n"/>
      <c r="S282" s="16" t="n"/>
      <c r="T282" s="16" t="n"/>
      <c r="U282" s="16" t="n"/>
      <c r="V282" s="16" t="n"/>
      <c r="W282" s="16" t="n"/>
      <c r="X282" s="16" t="n"/>
      <c r="Y282" s="16" t="n"/>
      <c r="Z282" s="16" t="n"/>
    </row>
    <row r="283" ht="12.75" customHeight="1" s="588">
      <c r="A283" s="1" t="n"/>
      <c r="B283" s="1" t="n"/>
      <c r="C283" s="1" t="n"/>
      <c r="D283" s="1" t="n"/>
      <c r="E283" s="1" t="n"/>
      <c r="F283" s="130" t="inlineStr">
        <is>
          <t>Hardware, Software y Telecomunicaciones</t>
        </is>
      </c>
      <c r="G283" s="1" t="n"/>
      <c r="H283" s="1" t="n"/>
      <c r="I283" s="1" t="n"/>
      <c r="J283" s="1" t="n"/>
      <c r="K283" s="1" t="n"/>
      <c r="L283" s="16" t="n"/>
      <c r="M283" s="16" t="n"/>
      <c r="N283" s="16" t="n"/>
      <c r="O283" s="16" t="n"/>
      <c r="P283" s="16" t="n"/>
      <c r="Q283" s="16" t="n"/>
      <c r="R283" s="16" t="n"/>
      <c r="S283" s="16" t="n"/>
      <c r="T283" s="16" t="n"/>
      <c r="U283" s="16" t="n"/>
      <c r="V283" s="16" t="n"/>
      <c r="W283" s="16" t="n"/>
      <c r="X283" s="16" t="n"/>
      <c r="Y283" s="16" t="n"/>
      <c r="Z283" s="16" t="n"/>
    </row>
    <row r="284" ht="12.75" customHeight="1" s="588">
      <c r="A284" s="1" t="n"/>
      <c r="B284" s="1" t="n"/>
      <c r="C284" s="1" t="n"/>
      <c r="D284" s="1" t="n"/>
      <c r="E284" s="1" t="n"/>
      <c r="F284" s="1" t="n"/>
      <c r="G284" s="1" t="n"/>
      <c r="H284" s="1" t="n"/>
      <c r="I284" s="1" t="n"/>
      <c r="J284" s="1" t="n"/>
      <c r="K284" s="1" t="n"/>
      <c r="L284" s="16" t="n"/>
      <c r="M284" s="16" t="n"/>
      <c r="N284" s="16" t="n"/>
      <c r="O284" s="16" t="n"/>
      <c r="P284" s="16" t="n"/>
      <c r="Q284" s="16" t="n"/>
      <c r="R284" s="16" t="n"/>
      <c r="S284" s="16" t="n"/>
      <c r="T284" s="16" t="n"/>
      <c r="U284" s="16" t="n"/>
      <c r="V284" s="16" t="n"/>
      <c r="W284" s="16" t="n"/>
      <c r="X284" s="16" t="n"/>
      <c r="Y284" s="16" t="n"/>
      <c r="Z284" s="16" t="n"/>
    </row>
    <row r="285" ht="12.75" customHeight="1" s="588">
      <c r="A285" s="696" t="inlineStr">
        <is>
          <t>HARDWARE, SOFTWARE Y TELECOMUNICACIONES
HARDWARE (1.900 EUR de inversión inicial): portatil de producción con capacidad para diseño gráfico y edición, monitor secundario calibrado, impresora/escaner multifunción, smartphone y router de respaldo.
SOFTWARE DE PRODUCCIÓN: WordPress como gestor de contenidos estandar del sector; Adobe Creative Cloud (Photoshop, Illustrator, InDesign) para diseño gráfico; Figma para prototipado e interfaz; entorno local de desarrollo.
SOFTWARE DE OPERACIÓN: herramientas de SEO local y seguimiento de posiciones, monitorización de disponibilidad y copias de seguridad de los sitios en mantenimiento, asistentes de IA generativa para producción de borradores, y software de facturación adaptado a Verifactu.
TELECOMUNICACIONES: fibra en el puesto de coworking y tarifa móvil con datos suficientes para trabajar en visita de cliente.
COSTE ANUAL DE LICENCIAS Y SERVICIOS: 2.400 EUR (200 EUR/mes). Es la partida que más crece con la inflación prevista del 3,6% en 2026 y conviene revisarla cada renovación.</t>
        </is>
      </c>
      <c r="B285" s="593" t="n"/>
      <c r="C285" s="593" t="n"/>
      <c r="D285" s="593" t="n"/>
      <c r="E285" s="593" t="n"/>
      <c r="F285" s="593" t="n"/>
      <c r="G285" s="593" t="n"/>
      <c r="H285" s="593" t="n"/>
      <c r="I285" s="593" t="n"/>
      <c r="J285" s="593" t="n"/>
      <c r="K285" s="594" t="n"/>
      <c r="L285" s="16" t="n"/>
      <c r="M285" s="16" t="n"/>
      <c r="N285" s="16" t="n"/>
      <c r="O285" s="16" t="n"/>
      <c r="P285" s="16" t="n"/>
      <c r="Q285" s="16" t="n"/>
      <c r="R285" s="16" t="n"/>
      <c r="S285" s="16" t="n"/>
      <c r="T285" s="16" t="n"/>
      <c r="U285" s="16" t="n"/>
      <c r="V285" s="16" t="n"/>
      <c r="W285" s="16" t="n"/>
      <c r="X285" s="16" t="n"/>
      <c r="Y285" s="16" t="n"/>
      <c r="Z285" s="16" t="n"/>
    </row>
    <row r="286" ht="12.75" customHeight="1" s="588">
      <c r="A286" s="595" t="n"/>
      <c r="K286" s="596" t="n"/>
      <c r="L286" s="16" t="n"/>
      <c r="M286" s="16" t="n"/>
      <c r="N286" s="16" t="n"/>
      <c r="O286" s="16" t="n"/>
      <c r="P286" s="16" t="n"/>
      <c r="Q286" s="16" t="n"/>
      <c r="R286" s="16" t="n"/>
      <c r="S286" s="16" t="n"/>
      <c r="T286" s="16" t="n"/>
      <c r="U286" s="16" t="n"/>
      <c r="V286" s="16" t="n"/>
      <c r="W286" s="16" t="n"/>
      <c r="X286" s="16" t="n"/>
      <c r="Y286" s="16" t="n"/>
      <c r="Z286" s="16" t="n"/>
    </row>
    <row r="287" ht="12.75" customHeight="1" s="588">
      <c r="A287" s="595" t="n"/>
      <c r="K287" s="596" t="n"/>
      <c r="L287" s="16" t="n"/>
      <c r="M287" s="16" t="n"/>
      <c r="N287" s="16" t="n"/>
      <c r="O287" s="16" t="n"/>
      <c r="P287" s="16" t="n"/>
      <c r="Q287" s="16" t="n"/>
      <c r="R287" s="16" t="n"/>
      <c r="S287" s="16" t="n"/>
      <c r="T287" s="16" t="n"/>
      <c r="U287" s="16" t="n"/>
      <c r="V287" s="16" t="n"/>
      <c r="W287" s="16" t="n"/>
      <c r="X287" s="16" t="n"/>
      <c r="Y287" s="16" t="n"/>
      <c r="Z287" s="16" t="n"/>
    </row>
    <row r="288" ht="12.75" customHeight="1" s="588">
      <c r="A288" s="595" t="n"/>
      <c r="K288" s="596" t="n"/>
      <c r="L288" s="16" t="n"/>
      <c r="M288" s="16" t="n"/>
      <c r="N288" s="16" t="n"/>
      <c r="O288" s="16" t="n"/>
      <c r="P288" s="16" t="n"/>
      <c r="Q288" s="16" t="n"/>
      <c r="R288" s="16" t="n"/>
      <c r="S288" s="16" t="n"/>
      <c r="T288" s="16" t="n"/>
      <c r="U288" s="16" t="n"/>
      <c r="V288" s="16" t="n"/>
      <c r="W288" s="16" t="n"/>
      <c r="X288" s="16" t="n"/>
      <c r="Y288" s="16" t="n"/>
      <c r="Z288" s="16" t="n"/>
    </row>
    <row r="289" ht="12.75" customHeight="1" s="588">
      <c r="A289" s="595" t="n"/>
      <c r="K289" s="596" t="n"/>
      <c r="L289" s="16" t="n"/>
      <c r="M289" s="16" t="n"/>
      <c r="N289" s="16" t="n"/>
      <c r="O289" s="16" t="n"/>
      <c r="P289" s="16" t="n"/>
      <c r="Q289" s="16" t="n"/>
      <c r="R289" s="16" t="n"/>
      <c r="S289" s="16" t="n"/>
      <c r="T289" s="16" t="n"/>
      <c r="U289" s="16" t="n"/>
      <c r="V289" s="16" t="n"/>
      <c r="W289" s="16" t="n"/>
      <c r="X289" s="16" t="n"/>
      <c r="Y289" s="16" t="n"/>
      <c r="Z289" s="16" t="n"/>
    </row>
    <row r="290" ht="12.75" customHeight="1" s="588">
      <c r="A290" s="595" t="n"/>
      <c r="K290" s="596" t="n"/>
      <c r="L290" s="16" t="n"/>
      <c r="M290" s="16" t="n"/>
      <c r="N290" s="16" t="n"/>
      <c r="O290" s="16" t="n"/>
      <c r="P290" s="16" t="n"/>
      <c r="Q290" s="16" t="n"/>
      <c r="R290" s="16" t="n"/>
      <c r="S290" s="16" t="n"/>
      <c r="T290" s="16" t="n"/>
      <c r="U290" s="16" t="n"/>
      <c r="V290" s="16" t="n"/>
      <c r="W290" s="16" t="n"/>
      <c r="X290" s="16" t="n"/>
      <c r="Y290" s="16" t="n"/>
      <c r="Z290" s="16" t="n"/>
    </row>
    <row r="291" ht="12.75" customHeight="1" s="588">
      <c r="A291" s="595" t="n"/>
      <c r="K291" s="596" t="n"/>
      <c r="L291" s="16" t="n"/>
      <c r="M291" s="16" t="n"/>
      <c r="N291" s="16" t="n"/>
      <c r="O291" s="16" t="n"/>
      <c r="P291" s="16" t="n"/>
      <c r="Q291" s="16" t="n"/>
      <c r="R291" s="16" t="n"/>
      <c r="S291" s="16" t="n"/>
      <c r="T291" s="16" t="n"/>
      <c r="U291" s="16" t="n"/>
      <c r="V291" s="16" t="n"/>
      <c r="W291" s="16" t="n"/>
      <c r="X291" s="16" t="n"/>
      <c r="Y291" s="16" t="n"/>
      <c r="Z291" s="16" t="n"/>
    </row>
    <row r="292" ht="12.75" customHeight="1" s="588">
      <c r="A292" s="595" t="n"/>
      <c r="K292" s="596" t="n"/>
      <c r="L292" s="16" t="n"/>
      <c r="M292" s="16" t="n"/>
      <c r="N292" s="16" t="n"/>
      <c r="O292" s="16" t="n"/>
      <c r="P292" s="16" t="n"/>
      <c r="Q292" s="16" t="n"/>
      <c r="R292" s="16" t="n"/>
      <c r="S292" s="16" t="n"/>
      <c r="T292" s="16" t="n"/>
      <c r="U292" s="16" t="n"/>
      <c r="V292" s="16" t="n"/>
      <c r="W292" s="16" t="n"/>
      <c r="X292" s="16" t="n"/>
      <c r="Y292" s="16" t="n"/>
      <c r="Z292" s="16" t="n"/>
    </row>
    <row r="293" ht="12.75" customHeight="1" s="588">
      <c r="A293" s="595" t="n"/>
      <c r="K293" s="596" t="n"/>
      <c r="L293" s="16" t="n"/>
      <c r="M293" s="16" t="n"/>
      <c r="N293" s="16" t="n"/>
      <c r="O293" s="16" t="n"/>
      <c r="P293" s="16" t="n"/>
      <c r="Q293" s="16" t="n"/>
      <c r="R293" s="16" t="n"/>
      <c r="S293" s="16" t="n"/>
      <c r="T293" s="16" t="n"/>
      <c r="U293" s="16" t="n"/>
      <c r="V293" s="16" t="n"/>
      <c r="W293" s="16" t="n"/>
      <c r="X293" s="16" t="n"/>
      <c r="Y293" s="16" t="n"/>
      <c r="Z293" s="16" t="n"/>
    </row>
    <row r="294" ht="12.75" customHeight="1" s="588">
      <c r="A294" s="595" t="n"/>
      <c r="K294" s="596" t="n"/>
      <c r="L294" s="16" t="n"/>
      <c r="M294" s="16" t="n"/>
      <c r="N294" s="16" t="n"/>
      <c r="O294" s="16" t="n"/>
      <c r="P294" s="16" t="n"/>
      <c r="Q294" s="16" t="n"/>
      <c r="R294" s="16" t="n"/>
      <c r="S294" s="16" t="n"/>
      <c r="T294" s="16" t="n"/>
      <c r="U294" s="16" t="n"/>
      <c r="V294" s="16" t="n"/>
      <c r="W294" s="16" t="n"/>
      <c r="X294" s="16" t="n"/>
      <c r="Y294" s="16" t="n"/>
      <c r="Z294" s="16" t="n"/>
    </row>
    <row r="295" ht="12.75" customHeight="1" s="588">
      <c r="A295" s="595" t="n"/>
      <c r="K295" s="596" t="n"/>
      <c r="L295" s="16" t="n"/>
      <c r="M295" s="16" t="n"/>
      <c r="N295" s="16" t="n"/>
      <c r="O295" s="16" t="n"/>
      <c r="P295" s="16" t="n"/>
      <c r="Q295" s="16" t="n"/>
      <c r="R295" s="16" t="n"/>
      <c r="S295" s="16" t="n"/>
      <c r="T295" s="16" t="n"/>
      <c r="U295" s="16" t="n"/>
      <c r="V295" s="16" t="n"/>
      <c r="W295" s="16" t="n"/>
      <c r="X295" s="16" t="n"/>
      <c r="Y295" s="16" t="n"/>
      <c r="Z295" s="16" t="n"/>
    </row>
    <row r="296" ht="12.75" customHeight="1" s="588">
      <c r="A296" s="595" t="n"/>
      <c r="K296" s="596" t="n"/>
      <c r="L296" s="16" t="n"/>
      <c r="M296" s="16" t="n"/>
      <c r="N296" s="16" t="n"/>
      <c r="O296" s="16" t="n"/>
      <c r="P296" s="16" t="n"/>
      <c r="Q296" s="16" t="n"/>
      <c r="R296" s="16" t="n"/>
      <c r="S296" s="16" t="n"/>
      <c r="T296" s="16" t="n"/>
      <c r="U296" s="16" t="n"/>
      <c r="V296" s="16" t="n"/>
      <c r="W296" s="16" t="n"/>
      <c r="X296" s="16" t="n"/>
      <c r="Y296" s="16" t="n"/>
      <c r="Z296" s="16" t="n"/>
    </row>
    <row r="297" ht="12.75" customHeight="1" s="588">
      <c r="A297" s="595" t="n"/>
      <c r="K297" s="596" t="n"/>
      <c r="L297" s="16" t="n"/>
      <c r="M297" s="16" t="n"/>
      <c r="N297" s="16" t="n"/>
      <c r="O297" s="16" t="n"/>
      <c r="P297" s="16" t="n"/>
      <c r="Q297" s="16" t="n"/>
      <c r="R297" s="16" t="n"/>
      <c r="S297" s="16" t="n"/>
      <c r="T297" s="16" t="n"/>
      <c r="U297" s="16" t="n"/>
      <c r="V297" s="16" t="n"/>
      <c r="W297" s="16" t="n"/>
      <c r="X297" s="16" t="n"/>
      <c r="Y297" s="16" t="n"/>
      <c r="Z297" s="16" t="n"/>
    </row>
    <row r="298" ht="12.75" customHeight="1" s="588">
      <c r="A298" s="595" t="n"/>
      <c r="K298" s="596" t="n"/>
      <c r="L298" s="16" t="n"/>
      <c r="M298" s="16" t="n"/>
      <c r="N298" s="16" t="n"/>
      <c r="O298" s="16" t="n"/>
      <c r="P298" s="16" t="n"/>
      <c r="Q298" s="16" t="n"/>
      <c r="R298" s="16" t="n"/>
      <c r="S298" s="16" t="n"/>
      <c r="T298" s="16" t="n"/>
      <c r="U298" s="16" t="n"/>
      <c r="V298" s="16" t="n"/>
      <c r="W298" s="16" t="n"/>
      <c r="X298" s="16" t="n"/>
      <c r="Y298" s="16" t="n"/>
      <c r="Z298" s="16" t="n"/>
    </row>
    <row r="299" ht="12.75" customHeight="1" s="588">
      <c r="A299" s="595" t="n"/>
      <c r="K299" s="596" t="n"/>
      <c r="L299" s="16" t="n"/>
      <c r="M299" s="16" t="n"/>
      <c r="N299" s="16" t="n"/>
      <c r="O299" s="16" t="n"/>
      <c r="P299" s="16" t="n"/>
      <c r="Q299" s="16" t="n"/>
      <c r="R299" s="16" t="n"/>
      <c r="S299" s="16" t="n"/>
      <c r="T299" s="16" t="n"/>
      <c r="U299" s="16" t="n"/>
      <c r="V299" s="16" t="n"/>
      <c r="W299" s="16" t="n"/>
      <c r="X299" s="16" t="n"/>
      <c r="Y299" s="16" t="n"/>
      <c r="Z299" s="16" t="n"/>
    </row>
    <row r="300" ht="12.75" customHeight="1" s="588">
      <c r="A300" s="595" t="n"/>
      <c r="K300" s="596" t="n"/>
      <c r="L300" s="16" t="n"/>
      <c r="M300" s="16" t="n"/>
      <c r="N300" s="16" t="n"/>
      <c r="O300" s="16" t="n"/>
      <c r="P300" s="16" t="n"/>
      <c r="Q300" s="16" t="n"/>
      <c r="R300" s="16" t="n"/>
      <c r="S300" s="16" t="n"/>
      <c r="T300" s="16" t="n"/>
      <c r="U300" s="16" t="n"/>
      <c r="V300" s="16" t="n"/>
      <c r="W300" s="16" t="n"/>
      <c r="X300" s="16" t="n"/>
      <c r="Y300" s="16" t="n"/>
      <c r="Z300" s="16" t="n"/>
    </row>
    <row r="301" ht="12.75" customHeight="1" s="588">
      <c r="A301" s="595" t="n"/>
      <c r="K301" s="596" t="n"/>
      <c r="L301" s="16" t="n"/>
      <c r="M301" s="16" t="n"/>
      <c r="N301" s="16" t="n"/>
      <c r="O301" s="16" t="n"/>
      <c r="P301" s="16" t="n"/>
      <c r="Q301" s="16" t="n"/>
      <c r="R301" s="16" t="n"/>
      <c r="S301" s="16" t="n"/>
      <c r="T301" s="16" t="n"/>
      <c r="U301" s="16" t="n"/>
      <c r="V301" s="16" t="n"/>
      <c r="W301" s="16" t="n"/>
      <c r="X301" s="16" t="n"/>
      <c r="Y301" s="16" t="n"/>
      <c r="Z301" s="16" t="n"/>
    </row>
    <row r="302" ht="12.75" customHeight="1" s="588">
      <c r="A302" s="595" t="n"/>
      <c r="K302" s="596" t="n"/>
      <c r="L302" s="16" t="n"/>
      <c r="M302" s="16" t="n"/>
      <c r="N302" s="16" t="n"/>
      <c r="O302" s="16" t="n"/>
      <c r="P302" s="16" t="n"/>
      <c r="Q302" s="16" t="n"/>
      <c r="R302" s="16" t="n"/>
      <c r="S302" s="16" t="n"/>
      <c r="T302" s="16" t="n"/>
      <c r="U302" s="16" t="n"/>
      <c r="V302" s="16" t="n"/>
      <c r="W302" s="16" t="n"/>
      <c r="X302" s="16" t="n"/>
      <c r="Y302" s="16" t="n"/>
      <c r="Z302" s="16" t="n"/>
    </row>
    <row r="303" ht="12.75" customHeight="1" s="588">
      <c r="A303" s="595" t="n"/>
      <c r="K303" s="596" t="n"/>
      <c r="L303" s="16" t="n"/>
      <c r="M303" s="16" t="n"/>
      <c r="N303" s="16" t="n"/>
      <c r="O303" s="16" t="n"/>
      <c r="P303" s="16" t="n"/>
      <c r="Q303" s="16" t="n"/>
      <c r="R303" s="16" t="n"/>
      <c r="S303" s="16" t="n"/>
      <c r="T303" s="16" t="n"/>
      <c r="U303" s="16" t="n"/>
      <c r="V303" s="16" t="n"/>
      <c r="W303" s="16" t="n"/>
      <c r="X303" s="16" t="n"/>
      <c r="Y303" s="16" t="n"/>
      <c r="Z303" s="16" t="n"/>
    </row>
    <row r="304" ht="12.75" customHeight="1" s="588">
      <c r="A304" s="595" t="n"/>
      <c r="K304" s="596" t="n"/>
      <c r="L304" s="16" t="n"/>
      <c r="M304" s="16" t="n"/>
      <c r="N304" s="16" t="n"/>
      <c r="O304" s="16" t="n"/>
      <c r="P304" s="16" t="n"/>
      <c r="Q304" s="16" t="n"/>
      <c r="R304" s="16" t="n"/>
      <c r="S304" s="16" t="n"/>
      <c r="T304" s="16" t="n"/>
      <c r="U304" s="16" t="n"/>
      <c r="V304" s="16" t="n"/>
      <c r="W304" s="16" t="n"/>
      <c r="X304" s="16" t="n"/>
      <c r="Y304" s="16" t="n"/>
      <c r="Z304" s="16" t="n"/>
    </row>
    <row r="305" ht="12.75" customHeight="1" s="588">
      <c r="A305" s="595" t="n"/>
      <c r="K305" s="596" t="n"/>
      <c r="L305" s="16" t="n"/>
      <c r="M305" s="16" t="n"/>
      <c r="N305" s="16" t="n"/>
      <c r="O305" s="16" t="n"/>
      <c r="P305" s="16" t="n"/>
      <c r="Q305" s="16" t="n"/>
      <c r="R305" s="16" t="n"/>
      <c r="S305" s="16" t="n"/>
      <c r="T305" s="16" t="n"/>
      <c r="U305" s="16" t="n"/>
      <c r="V305" s="16" t="n"/>
      <c r="W305" s="16" t="n"/>
      <c r="X305" s="16" t="n"/>
      <c r="Y305" s="16" t="n"/>
      <c r="Z305" s="16" t="n"/>
    </row>
    <row r="306" ht="12.75" customHeight="1" s="588">
      <c r="A306" s="595" t="n"/>
      <c r="K306" s="596" t="n"/>
      <c r="L306" s="16" t="n"/>
      <c r="M306" s="16" t="n"/>
      <c r="N306" s="16" t="n"/>
      <c r="O306" s="16" t="n"/>
      <c r="P306" s="16" t="n"/>
      <c r="Q306" s="16" t="n"/>
      <c r="R306" s="16" t="n"/>
      <c r="S306" s="16" t="n"/>
      <c r="T306" s="16" t="n"/>
      <c r="U306" s="16" t="n"/>
      <c r="V306" s="16" t="n"/>
      <c r="W306" s="16" t="n"/>
      <c r="X306" s="16" t="n"/>
      <c r="Y306" s="16" t="n"/>
      <c r="Z306" s="16" t="n"/>
    </row>
    <row r="307" ht="12.75" customHeight="1" s="588">
      <c r="A307" s="595" t="n"/>
      <c r="K307" s="596" t="n"/>
      <c r="L307" s="16" t="n"/>
      <c r="M307" s="16" t="n"/>
      <c r="N307" s="16" t="n"/>
      <c r="O307" s="16" t="n"/>
      <c r="P307" s="16" t="n"/>
      <c r="Q307" s="16" t="n"/>
      <c r="R307" s="16" t="n"/>
      <c r="S307" s="16" t="n"/>
      <c r="T307" s="16" t="n"/>
      <c r="U307" s="16" t="n"/>
      <c r="V307" s="16" t="n"/>
      <c r="W307" s="16" t="n"/>
      <c r="X307" s="16" t="n"/>
      <c r="Y307" s="16" t="n"/>
      <c r="Z307" s="16" t="n"/>
    </row>
    <row r="308" ht="12.75" customHeight="1" s="588">
      <c r="A308" s="595" t="n"/>
      <c r="K308" s="596" t="n"/>
      <c r="L308" s="16" t="n"/>
      <c r="M308" s="16" t="n"/>
      <c r="N308" s="16" t="n"/>
      <c r="O308" s="16" t="n"/>
      <c r="P308" s="16" t="n"/>
      <c r="Q308" s="16" t="n"/>
      <c r="R308" s="16" t="n"/>
      <c r="S308" s="16" t="n"/>
      <c r="T308" s="16" t="n"/>
      <c r="U308" s="16" t="n"/>
      <c r="V308" s="16" t="n"/>
      <c r="W308" s="16" t="n"/>
      <c r="X308" s="16" t="n"/>
      <c r="Y308" s="16" t="n"/>
      <c r="Z308" s="16" t="n"/>
    </row>
    <row r="309" ht="12.75" customHeight="1" s="588">
      <c r="A309" s="595" t="n"/>
      <c r="K309" s="596" t="n"/>
      <c r="L309" s="16" t="n"/>
      <c r="M309" s="16" t="n"/>
      <c r="N309" s="16" t="n"/>
      <c r="O309" s="16" t="n"/>
      <c r="P309" s="16" t="n"/>
      <c r="Q309" s="16" t="n"/>
      <c r="R309" s="16" t="n"/>
      <c r="S309" s="16" t="n"/>
      <c r="T309" s="16" t="n"/>
      <c r="U309" s="16" t="n"/>
      <c r="V309" s="16" t="n"/>
      <c r="W309" s="16" t="n"/>
      <c r="X309" s="16" t="n"/>
      <c r="Y309" s="16" t="n"/>
      <c r="Z309" s="16" t="n"/>
    </row>
    <row r="310" ht="12.75" customHeight="1" s="588">
      <c r="A310" s="595" t="n"/>
      <c r="K310" s="596" t="n"/>
      <c r="L310" s="16" t="n"/>
      <c r="M310" s="16" t="n"/>
      <c r="N310" s="16" t="n"/>
      <c r="O310" s="16" t="n"/>
      <c r="P310" s="16" t="n"/>
      <c r="Q310" s="16" t="n"/>
      <c r="R310" s="16" t="n"/>
      <c r="S310" s="16" t="n"/>
      <c r="T310" s="16" t="n"/>
      <c r="U310" s="16" t="n"/>
      <c r="V310" s="16" t="n"/>
      <c r="W310" s="16" t="n"/>
      <c r="X310" s="16" t="n"/>
      <c r="Y310" s="16" t="n"/>
      <c r="Z310" s="16" t="n"/>
    </row>
    <row r="311" ht="12.75" customHeight="1" s="588">
      <c r="A311" s="595" t="n"/>
      <c r="K311" s="596" t="n"/>
      <c r="L311" s="16" t="n"/>
      <c r="M311" s="16" t="n"/>
      <c r="N311" s="16" t="n"/>
      <c r="O311" s="16" t="n"/>
      <c r="P311" s="16" t="n"/>
      <c r="Q311" s="16" t="n"/>
      <c r="R311" s="16" t="n"/>
      <c r="S311" s="16" t="n"/>
      <c r="T311" s="16" t="n"/>
      <c r="U311" s="16" t="n"/>
      <c r="V311" s="16" t="n"/>
      <c r="W311" s="16" t="n"/>
      <c r="X311" s="16" t="n"/>
      <c r="Y311" s="16" t="n"/>
      <c r="Z311" s="16" t="n"/>
    </row>
    <row r="312" ht="12.75" customHeight="1" s="588">
      <c r="A312" s="595" t="n"/>
      <c r="K312" s="596" t="n"/>
      <c r="L312" s="16" t="n"/>
      <c r="M312" s="16" t="n"/>
      <c r="N312" s="16" t="n"/>
      <c r="O312" s="16" t="n"/>
      <c r="P312" s="16" t="n"/>
      <c r="Q312" s="16" t="n"/>
      <c r="R312" s="16" t="n"/>
      <c r="S312" s="16" t="n"/>
      <c r="T312" s="16" t="n"/>
      <c r="U312" s="16" t="n"/>
      <c r="V312" s="16" t="n"/>
      <c r="W312" s="16" t="n"/>
      <c r="X312" s="16" t="n"/>
      <c r="Y312" s="16" t="n"/>
      <c r="Z312" s="16" t="n"/>
    </row>
    <row r="313" ht="12.75" customHeight="1" s="588">
      <c r="A313" s="595" t="n"/>
      <c r="K313" s="596" t="n"/>
      <c r="L313" s="16" t="n"/>
      <c r="M313" s="16" t="n"/>
      <c r="N313" s="16" t="n"/>
      <c r="O313" s="16" t="n"/>
      <c r="P313" s="16" t="n"/>
      <c r="Q313" s="16" t="n"/>
      <c r="R313" s="16" t="n"/>
      <c r="S313" s="16" t="n"/>
      <c r="T313" s="16" t="n"/>
      <c r="U313" s="16" t="n"/>
      <c r="V313" s="16" t="n"/>
      <c r="W313" s="16" t="n"/>
      <c r="X313" s="16" t="n"/>
      <c r="Y313" s="16" t="n"/>
      <c r="Z313" s="16" t="n"/>
    </row>
    <row r="314" ht="12.75" customHeight="1" s="588">
      <c r="A314" s="597" t="n"/>
      <c r="B314" s="598" t="n"/>
      <c r="C314" s="598" t="n"/>
      <c r="D314" s="598" t="n"/>
      <c r="E314" s="598" t="n"/>
      <c r="F314" s="598" t="n"/>
      <c r="G314" s="598" t="n"/>
      <c r="H314" s="598" t="n"/>
      <c r="I314" s="598" t="n"/>
      <c r="J314" s="598" t="n"/>
      <c r="K314" s="599" t="n"/>
      <c r="L314" s="16" t="n"/>
      <c r="M314" s="16" t="n"/>
      <c r="N314" s="16" t="n"/>
      <c r="O314" s="16" t="n"/>
      <c r="P314" s="16" t="n"/>
      <c r="Q314" s="16" t="n"/>
      <c r="R314" s="16" t="n"/>
      <c r="S314" s="16" t="n"/>
      <c r="T314" s="16" t="n"/>
      <c r="U314" s="16" t="n"/>
      <c r="V314" s="16" t="n"/>
      <c r="W314" s="16" t="n"/>
      <c r="X314" s="16" t="n"/>
      <c r="Y314" s="16" t="n"/>
      <c r="Z314" s="16" t="n"/>
    </row>
    <row r="315" ht="12.75" customHeight="1" s="588">
      <c r="A315" s="1" t="n"/>
      <c r="B315" s="1" t="n"/>
      <c r="C315" s="1" t="n"/>
      <c r="D315" s="1" t="n"/>
      <c r="E315" s="1" t="n"/>
      <c r="F315" s="1" t="n"/>
      <c r="G315" s="1" t="n"/>
      <c r="H315" s="1" t="n"/>
      <c r="I315" s="1" t="n"/>
      <c r="J315" s="1" t="n"/>
      <c r="K315" s="1" t="n"/>
      <c r="L315" s="16" t="n"/>
      <c r="M315" s="16" t="n"/>
      <c r="N315" s="16" t="n"/>
      <c r="O315" s="16" t="n"/>
      <c r="P315" s="16" t="n"/>
      <c r="Q315" s="16" t="n"/>
      <c r="R315" s="16" t="n"/>
      <c r="S315" s="16" t="n"/>
      <c r="T315" s="16" t="n"/>
      <c r="U315" s="16" t="n"/>
      <c r="V315" s="16" t="n"/>
      <c r="W315" s="16" t="n"/>
      <c r="X315" s="16" t="n"/>
      <c r="Y315" s="16" t="n"/>
      <c r="Z315" s="16" t="n"/>
    </row>
    <row r="316" ht="12.75" customHeight="1" s="588">
      <c r="A316" s="8" t="inlineStr">
        <is>
          <t>¿CÓMO?</t>
        </is>
      </c>
      <c r="B316" s="1" t="n"/>
      <c r="C316" s="1" t="n"/>
      <c r="D316" s="1" t="n"/>
      <c r="E316" s="1" t="n"/>
      <c r="F316" s="1" t="n"/>
      <c r="G316" s="1" t="n"/>
      <c r="H316" s="1" t="n"/>
      <c r="I316" s="1" t="n"/>
      <c r="J316" s="1" t="n"/>
      <c r="K316" s="185" t="inlineStr">
        <is>
          <t>Plan de Infraestructura Informática y Marketing Digital</t>
        </is>
      </c>
      <c r="L316" s="16" t="n"/>
      <c r="M316" s="16" t="n"/>
      <c r="N316" s="16" t="n"/>
      <c r="O316" s="16" t="n"/>
      <c r="P316" s="16" t="n"/>
      <c r="Q316" s="16" t="n"/>
      <c r="R316" s="16" t="n"/>
      <c r="S316" s="16" t="n"/>
      <c r="T316" s="16" t="n"/>
      <c r="U316" s="16" t="n"/>
      <c r="V316" s="16" t="n"/>
      <c r="W316" s="16" t="n"/>
      <c r="X316" s="16" t="n"/>
      <c r="Y316" s="16" t="n"/>
      <c r="Z316" s="16" t="n"/>
    </row>
    <row r="317" ht="12.75" customHeight="1" s="588">
      <c r="A317" s="1" t="n"/>
      <c r="B317" s="1" t="n"/>
      <c r="C317" s="1" t="n"/>
      <c r="D317" s="1" t="n"/>
      <c r="E317" s="1" t="n"/>
      <c r="F317" s="1" t="n"/>
      <c r="G317" s="1" t="n"/>
      <c r="H317" s="1" t="n"/>
      <c r="I317" s="1" t="n"/>
      <c r="J317" s="1" t="n"/>
      <c r="K317" s="1" t="n"/>
      <c r="L317" s="16" t="n"/>
      <c r="M317" s="16" t="n"/>
      <c r="N317" s="16" t="n"/>
      <c r="O317" s="16" t="n"/>
      <c r="P317" s="16" t="n"/>
      <c r="Q317" s="16" t="n"/>
      <c r="R317" s="16" t="n"/>
      <c r="S317" s="16" t="n"/>
      <c r="T317" s="16" t="n"/>
      <c r="U317" s="16" t="n"/>
      <c r="V317" s="16" t="n"/>
      <c r="W317" s="16" t="n"/>
      <c r="X317" s="16" t="n"/>
      <c r="Y317" s="16" t="n"/>
      <c r="Z317" s="16" t="n"/>
    </row>
    <row r="318" ht="12.75" customHeight="1" s="588">
      <c r="A318" s="1" t="n"/>
      <c r="B318" s="1" t="n"/>
      <c r="C318" s="1" t="n"/>
      <c r="D318" s="1" t="n"/>
      <c r="E318" s="1" t="n"/>
      <c r="F318" s="130" t="inlineStr">
        <is>
          <t>Estrategia en Internet y Redes Sociales</t>
        </is>
      </c>
      <c r="G318" s="1" t="n"/>
      <c r="H318" s="1" t="n"/>
      <c r="I318" s="1" t="n"/>
      <c r="J318" s="1" t="n"/>
      <c r="K318" s="1" t="n"/>
      <c r="L318" s="16" t="n"/>
      <c r="M318" s="16" t="n"/>
      <c r="N318" s="16" t="n"/>
      <c r="O318" s="16" t="n"/>
      <c r="P318" s="16" t="n"/>
      <c r="Q318" s="16" t="n"/>
      <c r="R318" s="16" t="n"/>
      <c r="S318" s="16" t="n"/>
      <c r="T318" s="16" t="n"/>
      <c r="U318" s="16" t="n"/>
      <c r="V318" s="16" t="n"/>
      <c r="W318" s="16" t="n"/>
      <c r="X318" s="16" t="n"/>
      <c r="Y318" s="16" t="n"/>
      <c r="Z318" s="16" t="n"/>
    </row>
    <row r="319" ht="12.75" customHeight="1" s="588">
      <c r="A319" s="1" t="n"/>
      <c r="B319" s="1" t="n"/>
      <c r="C319" s="1" t="n"/>
      <c r="D319" s="1" t="n"/>
      <c r="E319" s="1" t="n"/>
      <c r="F319" s="1" t="n"/>
      <c r="G319" s="1" t="n"/>
      <c r="H319" s="1" t="n"/>
      <c r="I319" s="1" t="n"/>
      <c r="J319" s="1" t="n"/>
      <c r="K319" s="1" t="n"/>
      <c r="L319" s="16" t="n"/>
      <c r="M319" s="16" t="n"/>
      <c r="N319" s="16" t="n"/>
      <c r="O319" s="16" t="n"/>
      <c r="P319" s="16" t="n"/>
      <c r="Q319" s="16" t="n"/>
      <c r="R319" s="16" t="n"/>
      <c r="S319" s="16" t="n"/>
      <c r="T319" s="16" t="n"/>
      <c r="U319" s="16" t="n"/>
      <c r="V319" s="16" t="n"/>
      <c r="W319" s="16" t="n"/>
      <c r="X319" s="16" t="n"/>
      <c r="Y319" s="16" t="n"/>
      <c r="Z319" s="16" t="n"/>
    </row>
    <row r="320" ht="12.75" customHeight="1" s="588">
      <c r="A320" s="696" t="inlineStr">
        <is>
          <t>ESTRATEGIA EN INTERNET Y REDES SOCIALES
Redes prioritarias: LinkedIn (llegar al decisor de pyme y bodega), Instagram (formato visual antes/después) y ficha de Google Business Profile, que en un negocio local capta más que cualquier red social.
El formato central es el antes/después de proyectos reales del Bierzo, con permiso del cliente y con el dato de resultado cuando exista (visitas, formularios, reservas directas). En un mercado de 63.000 habitantes, enseñar trabajo hecho para un negocio que el espectador conoce vale más que cualquier campaña pagada.
RECOMENDACIONES DE EJECUCIÓN
1. Calendario editorial con temas, fechas clave del calendario local (vendimia, temporada del Camino, campaña de Navidad del comercio) y piezas preparadas con antelación.
2. Publicar con frecuencia sostenible y contenido útil para el público objetivo, no autopromoción continua. Mejor dos publicaciones buenas al mes que ocho vacias.
3. Objetivo explicito por publicación: notoriedad, prueba social o captación. Una publicación sin objetivo no se pública.
4. No comprar seguidores: hunden el engagement y no convierten.
5. Protocolo de crisis para resenas y comentarios negativos. Siempre responder, nunca discutir en público.
6. Inversión en Social Ads muy segmentada geográficamente (Ponferrada y comarca) y por sector. Presupuesto contenido: el canal principal sigue siendo la prospección directa.
7. Blog en la web propia orientado a busqueda local ("diseño web Ponferrada", "tienda online para bodega", "web para albergue del Camino").
8. Datos estructurados y coherencia entre web, ficha de Google y directorios, para ser citable por asistentes de IA. Ventaja de primer movimiento: no lo ofrece nadie en la comarca.</t>
        </is>
      </c>
      <c r="B320" s="593" t="n"/>
      <c r="C320" s="593" t="n"/>
      <c r="D320" s="593" t="n"/>
      <c r="E320" s="593" t="n"/>
      <c r="F320" s="593" t="n"/>
      <c r="G320" s="593" t="n"/>
      <c r="H320" s="593" t="n"/>
      <c r="I320" s="593" t="n"/>
      <c r="J320" s="593" t="n"/>
      <c r="K320" s="594" t="n"/>
      <c r="L320" s="16" t="n"/>
      <c r="M320" s="16" t="n"/>
      <c r="N320" s="16" t="n"/>
      <c r="O320" s="16" t="n"/>
      <c r="P320" s="16" t="n"/>
      <c r="Q320" s="16" t="n"/>
      <c r="R320" s="16" t="n"/>
      <c r="S320" s="16" t="n"/>
      <c r="T320" s="16" t="n"/>
      <c r="U320" s="16" t="n"/>
      <c r="V320" s="16" t="n"/>
      <c r="W320" s="16" t="n"/>
      <c r="X320" s="16" t="n"/>
      <c r="Y320" s="16" t="n"/>
      <c r="Z320" s="16" t="n"/>
    </row>
    <row r="321" ht="12.75" customHeight="1" s="588">
      <c r="A321" s="595" t="n"/>
      <c r="K321" s="596" t="n"/>
      <c r="L321" s="16" t="n"/>
      <c r="M321" s="16" t="n"/>
      <c r="N321" s="16" t="n"/>
      <c r="O321" s="16" t="n"/>
      <c r="P321" s="16" t="n"/>
      <c r="Q321" s="16" t="n"/>
      <c r="R321" s="16" t="n"/>
      <c r="S321" s="16" t="n"/>
      <c r="T321" s="16" t="n"/>
      <c r="U321" s="16" t="n"/>
      <c r="V321" s="16" t="n"/>
      <c r="W321" s="16" t="n"/>
      <c r="X321" s="16" t="n"/>
      <c r="Y321" s="16" t="n"/>
      <c r="Z321" s="16" t="n"/>
    </row>
    <row r="322" ht="12.75" customHeight="1" s="588">
      <c r="A322" s="595" t="n"/>
      <c r="K322" s="596" t="n"/>
      <c r="L322" s="16" t="n"/>
      <c r="M322" s="16" t="n"/>
      <c r="N322" s="16" t="n"/>
      <c r="O322" s="16" t="n"/>
      <c r="P322" s="16" t="n"/>
      <c r="Q322" s="16" t="n"/>
      <c r="R322" s="16" t="n"/>
      <c r="S322" s="16" t="n"/>
      <c r="T322" s="16" t="n"/>
      <c r="U322" s="16" t="n"/>
      <c r="V322" s="16" t="n"/>
      <c r="W322" s="16" t="n"/>
      <c r="X322" s="16" t="n"/>
      <c r="Y322" s="16" t="n"/>
      <c r="Z322" s="16" t="n"/>
    </row>
    <row r="323" ht="12.75" customHeight="1" s="588">
      <c r="A323" s="595" t="n"/>
      <c r="K323" s="596" t="n"/>
      <c r="L323" s="16" t="n"/>
      <c r="M323" s="16" t="n"/>
      <c r="N323" s="16" t="n"/>
      <c r="O323" s="16" t="n"/>
      <c r="P323" s="16" t="n"/>
      <c r="Q323" s="16" t="n"/>
      <c r="R323" s="16" t="n"/>
      <c r="S323" s="16" t="n"/>
      <c r="T323" s="16" t="n"/>
      <c r="U323" s="16" t="n"/>
      <c r="V323" s="16" t="n"/>
      <c r="W323" s="16" t="n"/>
      <c r="X323" s="16" t="n"/>
      <c r="Y323" s="16" t="n"/>
      <c r="Z323" s="16" t="n"/>
    </row>
    <row r="324" ht="12.75" customHeight="1" s="588">
      <c r="A324" s="595" t="n"/>
      <c r="K324" s="596" t="n"/>
      <c r="L324" s="16" t="n"/>
      <c r="M324" s="16" t="n"/>
      <c r="N324" s="16" t="n"/>
      <c r="O324" s="16" t="n"/>
      <c r="P324" s="16" t="n"/>
      <c r="Q324" s="16" t="n"/>
      <c r="R324" s="16" t="n"/>
      <c r="S324" s="16" t="n"/>
      <c r="T324" s="16" t="n"/>
      <c r="U324" s="16" t="n"/>
      <c r="V324" s="16" t="n"/>
      <c r="W324" s="16" t="n"/>
      <c r="X324" s="16" t="n"/>
      <c r="Y324" s="16" t="n"/>
      <c r="Z324" s="16" t="n"/>
    </row>
    <row r="325" ht="12.75" customHeight="1" s="588">
      <c r="A325" s="595" t="n"/>
      <c r="K325" s="596" t="n"/>
      <c r="L325" s="16" t="n"/>
      <c r="M325" s="16" t="n"/>
      <c r="N325" s="16" t="n"/>
      <c r="O325" s="16" t="n"/>
      <c r="P325" s="16" t="n"/>
      <c r="Q325" s="16" t="n"/>
      <c r="R325" s="16" t="n"/>
      <c r="S325" s="16" t="n"/>
      <c r="T325" s="16" t="n"/>
      <c r="U325" s="16" t="n"/>
      <c r="V325" s="16" t="n"/>
      <c r="W325" s="16" t="n"/>
      <c r="X325" s="16" t="n"/>
      <c r="Y325" s="16" t="n"/>
      <c r="Z325" s="16" t="n"/>
    </row>
    <row r="326" ht="12.75" customHeight="1" s="588">
      <c r="A326" s="595" t="n"/>
      <c r="K326" s="596" t="n"/>
      <c r="L326" s="16" t="n"/>
      <c r="M326" s="16" t="n"/>
      <c r="N326" s="16" t="n"/>
      <c r="O326" s="16" t="n"/>
      <c r="P326" s="16" t="n"/>
      <c r="Q326" s="16" t="n"/>
      <c r="R326" s="16" t="n"/>
      <c r="S326" s="16" t="n"/>
      <c r="T326" s="16" t="n"/>
      <c r="U326" s="16" t="n"/>
      <c r="V326" s="16" t="n"/>
      <c r="W326" s="16" t="n"/>
      <c r="X326" s="16" t="n"/>
      <c r="Y326" s="16" t="n"/>
      <c r="Z326" s="16" t="n"/>
    </row>
    <row r="327" ht="12.75" customHeight="1" s="588">
      <c r="A327" s="595" t="n"/>
      <c r="K327" s="596" t="n"/>
      <c r="L327" s="16" t="n"/>
      <c r="M327" s="16" t="n"/>
      <c r="N327" s="16" t="n"/>
      <c r="O327" s="16" t="n"/>
      <c r="P327" s="16" t="n"/>
      <c r="Q327" s="16" t="n"/>
      <c r="R327" s="16" t="n"/>
      <c r="S327" s="16" t="n"/>
      <c r="T327" s="16" t="n"/>
      <c r="U327" s="16" t="n"/>
      <c r="V327" s="16" t="n"/>
      <c r="W327" s="16" t="n"/>
      <c r="X327" s="16" t="n"/>
      <c r="Y327" s="16" t="n"/>
      <c r="Z327" s="16" t="n"/>
    </row>
    <row r="328" ht="12.75" customHeight="1" s="588">
      <c r="A328" s="595" t="n"/>
      <c r="K328" s="596" t="n"/>
      <c r="L328" s="16" t="n"/>
      <c r="M328" s="16" t="n"/>
      <c r="N328" s="16" t="n"/>
      <c r="O328" s="16" t="n"/>
      <c r="P328" s="16" t="n"/>
      <c r="Q328" s="16" t="n"/>
      <c r="R328" s="16" t="n"/>
      <c r="S328" s="16" t="n"/>
      <c r="T328" s="16" t="n"/>
      <c r="U328" s="16" t="n"/>
      <c r="V328" s="16" t="n"/>
      <c r="W328" s="16" t="n"/>
      <c r="X328" s="16" t="n"/>
      <c r="Y328" s="16" t="n"/>
      <c r="Z328" s="16" t="n"/>
    </row>
    <row r="329" ht="12.75" customHeight="1" s="588">
      <c r="A329" s="595" t="n"/>
      <c r="K329" s="596" t="n"/>
      <c r="L329" s="16" t="n"/>
      <c r="M329" s="16" t="n"/>
      <c r="N329" s="16" t="n"/>
      <c r="O329" s="16" t="n"/>
      <c r="P329" s="16" t="n"/>
      <c r="Q329" s="16" t="n"/>
      <c r="R329" s="16" t="n"/>
      <c r="S329" s="16" t="n"/>
      <c r="T329" s="16" t="n"/>
      <c r="U329" s="16" t="n"/>
      <c r="V329" s="16" t="n"/>
      <c r="W329" s="16" t="n"/>
      <c r="X329" s="16" t="n"/>
      <c r="Y329" s="16" t="n"/>
      <c r="Z329" s="16" t="n"/>
    </row>
    <row r="330" ht="12.75" customHeight="1" s="588">
      <c r="A330" s="595" t="n"/>
      <c r="K330" s="596" t="n"/>
      <c r="L330" s="16" t="n"/>
      <c r="M330" s="16" t="n"/>
      <c r="N330" s="16" t="n"/>
      <c r="O330" s="16" t="n"/>
      <c r="P330" s="16" t="n"/>
      <c r="Q330" s="16" t="n"/>
      <c r="R330" s="16" t="n"/>
      <c r="S330" s="16" t="n"/>
      <c r="T330" s="16" t="n"/>
      <c r="U330" s="16" t="n"/>
      <c r="V330" s="16" t="n"/>
      <c r="W330" s="16" t="n"/>
      <c r="X330" s="16" t="n"/>
      <c r="Y330" s="16" t="n"/>
      <c r="Z330" s="16" t="n"/>
    </row>
    <row r="331" ht="12.75" customHeight="1" s="588">
      <c r="A331" s="595" t="n"/>
      <c r="K331" s="596" t="n"/>
      <c r="L331" s="16" t="n"/>
      <c r="M331" s="16" t="n"/>
      <c r="N331" s="16" t="n"/>
      <c r="O331" s="16" t="n"/>
      <c r="P331" s="16" t="n"/>
      <c r="Q331" s="16" t="n"/>
      <c r="R331" s="16" t="n"/>
      <c r="S331" s="16" t="n"/>
      <c r="T331" s="16" t="n"/>
      <c r="U331" s="16" t="n"/>
      <c r="V331" s="16" t="n"/>
      <c r="W331" s="16" t="n"/>
      <c r="X331" s="16" t="n"/>
      <c r="Y331" s="16" t="n"/>
      <c r="Z331" s="16" t="n"/>
    </row>
    <row r="332" ht="12.75" customHeight="1" s="588">
      <c r="A332" s="595" t="n"/>
      <c r="K332" s="596" t="n"/>
      <c r="L332" s="16" t="n"/>
      <c r="M332" s="16" t="n"/>
      <c r="N332" s="16" t="n"/>
      <c r="O332" s="16" t="n"/>
      <c r="P332" s="16" t="n"/>
      <c r="Q332" s="16" t="n"/>
      <c r="R332" s="16" t="n"/>
      <c r="S332" s="16" t="n"/>
      <c r="T332" s="16" t="n"/>
      <c r="U332" s="16" t="n"/>
      <c r="V332" s="16" t="n"/>
      <c r="W332" s="16" t="n"/>
      <c r="X332" s="16" t="n"/>
      <c r="Y332" s="16" t="n"/>
      <c r="Z332" s="16" t="n"/>
    </row>
    <row r="333" ht="12.75" customHeight="1" s="588">
      <c r="A333" s="595" t="n"/>
      <c r="K333" s="596" t="n"/>
      <c r="L333" s="16" t="n"/>
      <c r="M333" s="16" t="n"/>
      <c r="N333" s="16" t="n"/>
      <c r="O333" s="16" t="n"/>
      <c r="P333" s="16" t="n"/>
      <c r="Q333" s="16" t="n"/>
      <c r="R333" s="16" t="n"/>
      <c r="S333" s="16" t="n"/>
      <c r="T333" s="16" t="n"/>
      <c r="U333" s="16" t="n"/>
      <c r="V333" s="16" t="n"/>
      <c r="W333" s="16" t="n"/>
      <c r="X333" s="16" t="n"/>
      <c r="Y333" s="16" t="n"/>
      <c r="Z333" s="16" t="n"/>
    </row>
    <row r="334" ht="12.75" customHeight="1" s="588">
      <c r="A334" s="595" t="n"/>
      <c r="K334" s="596" t="n"/>
      <c r="L334" s="16" t="n"/>
      <c r="M334" s="16" t="n"/>
      <c r="N334" s="16" t="n"/>
      <c r="O334" s="16" t="n"/>
      <c r="P334" s="16" t="n"/>
      <c r="Q334" s="16" t="n"/>
      <c r="R334" s="16" t="n"/>
      <c r="S334" s="16" t="n"/>
      <c r="T334" s="16" t="n"/>
      <c r="U334" s="16" t="n"/>
      <c r="V334" s="16" t="n"/>
      <c r="W334" s="16" t="n"/>
      <c r="X334" s="16" t="n"/>
      <c r="Y334" s="16" t="n"/>
      <c r="Z334" s="16" t="n"/>
    </row>
    <row r="335" ht="12.75" customHeight="1" s="588">
      <c r="A335" s="595" t="n"/>
      <c r="K335" s="596" t="n"/>
      <c r="L335" s="16" t="n"/>
      <c r="M335" s="16" t="n"/>
      <c r="N335" s="16" t="n"/>
      <c r="O335" s="16" t="n"/>
      <c r="P335" s="16" t="n"/>
      <c r="Q335" s="16" t="n"/>
      <c r="R335" s="16" t="n"/>
      <c r="S335" s="16" t="n"/>
      <c r="T335" s="16" t="n"/>
      <c r="U335" s="16" t="n"/>
      <c r="V335" s="16" t="n"/>
      <c r="W335" s="16" t="n"/>
      <c r="X335" s="16" t="n"/>
      <c r="Y335" s="16" t="n"/>
      <c r="Z335" s="16" t="n"/>
    </row>
    <row r="336" ht="12.75" customHeight="1" s="588">
      <c r="A336" s="595" t="n"/>
      <c r="K336" s="596" t="n"/>
      <c r="L336" s="16" t="n"/>
      <c r="M336" s="16" t="n"/>
      <c r="N336" s="16" t="n"/>
      <c r="O336" s="16" t="n"/>
      <c r="P336" s="16" t="n"/>
      <c r="Q336" s="16" t="n"/>
      <c r="R336" s="16" t="n"/>
      <c r="S336" s="16" t="n"/>
      <c r="T336" s="16" t="n"/>
      <c r="U336" s="16" t="n"/>
      <c r="V336" s="16" t="n"/>
      <c r="W336" s="16" t="n"/>
      <c r="X336" s="16" t="n"/>
      <c r="Y336" s="16" t="n"/>
      <c r="Z336" s="16" t="n"/>
    </row>
    <row r="337" ht="12.75" customHeight="1" s="588">
      <c r="A337" s="595" t="n"/>
      <c r="K337" s="596" t="n"/>
      <c r="L337" s="16" t="n"/>
      <c r="M337" s="16" t="n"/>
      <c r="N337" s="16" t="n"/>
      <c r="O337" s="16" t="n"/>
      <c r="P337" s="16" t="n"/>
      <c r="Q337" s="16" t="n"/>
      <c r="R337" s="16" t="n"/>
      <c r="S337" s="16" t="n"/>
      <c r="T337" s="16" t="n"/>
      <c r="U337" s="16" t="n"/>
      <c r="V337" s="16" t="n"/>
      <c r="W337" s="16" t="n"/>
      <c r="X337" s="16" t="n"/>
      <c r="Y337" s="16" t="n"/>
      <c r="Z337" s="16" t="n"/>
    </row>
    <row r="338" ht="12.75" customHeight="1" s="588">
      <c r="A338" s="595" t="n"/>
      <c r="K338" s="596" t="n"/>
      <c r="L338" s="16" t="n"/>
      <c r="M338" s="16" t="n"/>
      <c r="N338" s="16" t="n"/>
      <c r="O338" s="16" t="n"/>
      <c r="P338" s="16" t="n"/>
      <c r="Q338" s="16" t="n"/>
      <c r="R338" s="16" t="n"/>
      <c r="S338" s="16" t="n"/>
      <c r="T338" s="16" t="n"/>
      <c r="U338" s="16" t="n"/>
      <c r="V338" s="16" t="n"/>
      <c r="W338" s="16" t="n"/>
      <c r="X338" s="16" t="n"/>
      <c r="Y338" s="16" t="n"/>
      <c r="Z338" s="16" t="n"/>
    </row>
    <row r="339" ht="12.75" customHeight="1" s="588">
      <c r="A339" s="595" t="n"/>
      <c r="K339" s="596" t="n"/>
      <c r="L339" s="16" t="n"/>
      <c r="M339" s="16" t="n"/>
      <c r="N339" s="16" t="n"/>
      <c r="O339" s="16" t="n"/>
      <c r="P339" s="16" t="n"/>
      <c r="Q339" s="16" t="n"/>
      <c r="R339" s="16" t="n"/>
      <c r="S339" s="16" t="n"/>
      <c r="T339" s="16" t="n"/>
      <c r="U339" s="16" t="n"/>
      <c r="V339" s="16" t="n"/>
      <c r="W339" s="16" t="n"/>
      <c r="X339" s="16" t="n"/>
      <c r="Y339" s="16" t="n"/>
      <c r="Z339" s="16" t="n"/>
    </row>
    <row r="340" ht="12.75" customHeight="1" s="588">
      <c r="A340" s="595" t="n"/>
      <c r="K340" s="596" t="n"/>
      <c r="L340" s="16" t="n"/>
      <c r="M340" s="16" t="n"/>
      <c r="N340" s="16" t="n"/>
      <c r="O340" s="16" t="n"/>
      <c r="P340" s="16" t="n"/>
      <c r="Q340" s="16" t="n"/>
      <c r="R340" s="16" t="n"/>
      <c r="S340" s="16" t="n"/>
      <c r="T340" s="16" t="n"/>
      <c r="U340" s="16" t="n"/>
      <c r="V340" s="16" t="n"/>
      <c r="W340" s="16" t="n"/>
      <c r="X340" s="16" t="n"/>
      <c r="Y340" s="16" t="n"/>
      <c r="Z340" s="16" t="n"/>
    </row>
    <row r="341" ht="12.75" customHeight="1" s="588">
      <c r="A341" s="595" t="n"/>
      <c r="K341" s="596" t="n"/>
      <c r="L341" s="16" t="n"/>
      <c r="M341" s="16" t="n"/>
      <c r="N341" s="16" t="n"/>
      <c r="O341" s="16" t="n"/>
      <c r="P341" s="16" t="n"/>
      <c r="Q341" s="16" t="n"/>
      <c r="R341" s="16" t="n"/>
      <c r="S341" s="16" t="n"/>
      <c r="T341" s="16" t="n"/>
      <c r="U341" s="16" t="n"/>
      <c r="V341" s="16" t="n"/>
      <c r="W341" s="16" t="n"/>
      <c r="X341" s="16" t="n"/>
      <c r="Y341" s="16" t="n"/>
      <c r="Z341" s="16" t="n"/>
    </row>
    <row r="342" ht="12.75" customHeight="1" s="588">
      <c r="A342" s="595" t="n"/>
      <c r="K342" s="596" t="n"/>
      <c r="L342" s="16" t="n"/>
      <c r="M342" s="16" t="n"/>
      <c r="N342" s="16" t="n"/>
      <c r="O342" s="16" t="n"/>
      <c r="P342" s="16" t="n"/>
      <c r="Q342" s="16" t="n"/>
      <c r="R342" s="16" t="n"/>
      <c r="S342" s="16" t="n"/>
      <c r="T342" s="16" t="n"/>
      <c r="U342" s="16" t="n"/>
      <c r="V342" s="16" t="n"/>
      <c r="W342" s="16" t="n"/>
      <c r="X342" s="16" t="n"/>
      <c r="Y342" s="16" t="n"/>
      <c r="Z342" s="16" t="n"/>
    </row>
    <row r="343" ht="12.75" customHeight="1" s="588">
      <c r="A343" s="595" t="n"/>
      <c r="K343" s="596" t="n"/>
      <c r="L343" s="16" t="n"/>
      <c r="M343" s="16" t="n"/>
      <c r="N343" s="16" t="n"/>
      <c r="O343" s="16" t="n"/>
      <c r="P343" s="16" t="n"/>
      <c r="Q343" s="16" t="n"/>
      <c r="R343" s="16" t="n"/>
      <c r="S343" s="16" t="n"/>
      <c r="T343" s="16" t="n"/>
      <c r="U343" s="16" t="n"/>
      <c r="V343" s="16" t="n"/>
      <c r="W343" s="16" t="n"/>
      <c r="X343" s="16" t="n"/>
      <c r="Y343" s="16" t="n"/>
      <c r="Z343" s="16" t="n"/>
    </row>
    <row r="344" ht="12.75" customHeight="1" s="588">
      <c r="A344" s="595" t="n"/>
      <c r="K344" s="596" t="n"/>
      <c r="L344" s="16" t="n"/>
      <c r="M344" s="16" t="n"/>
      <c r="N344" s="16" t="n"/>
      <c r="O344" s="16" t="n"/>
      <c r="P344" s="16" t="n"/>
      <c r="Q344" s="16" t="n"/>
      <c r="R344" s="16" t="n"/>
      <c r="S344" s="16" t="n"/>
      <c r="T344" s="16" t="n"/>
      <c r="U344" s="16" t="n"/>
      <c r="V344" s="16" t="n"/>
      <c r="W344" s="16" t="n"/>
      <c r="X344" s="16" t="n"/>
      <c r="Y344" s="16" t="n"/>
      <c r="Z344" s="16" t="n"/>
    </row>
    <row r="345" ht="12.75" customHeight="1" s="588">
      <c r="A345" s="595" t="n"/>
      <c r="K345" s="596" t="n"/>
      <c r="L345" s="16" t="n"/>
      <c r="M345" s="16" t="n"/>
      <c r="N345" s="16" t="n"/>
      <c r="O345" s="16" t="n"/>
      <c r="P345" s="16" t="n"/>
      <c r="Q345" s="16" t="n"/>
      <c r="R345" s="16" t="n"/>
      <c r="S345" s="16" t="n"/>
      <c r="T345" s="16" t="n"/>
      <c r="U345" s="16" t="n"/>
      <c r="V345" s="16" t="n"/>
      <c r="W345" s="16" t="n"/>
      <c r="X345" s="16" t="n"/>
      <c r="Y345" s="16" t="n"/>
      <c r="Z345" s="16" t="n"/>
    </row>
    <row r="346" ht="12.75" customHeight="1" s="588">
      <c r="A346" s="595" t="n"/>
      <c r="K346" s="596" t="n"/>
      <c r="L346" s="16" t="n"/>
      <c r="M346" s="16" t="n"/>
      <c r="N346" s="16" t="n"/>
      <c r="O346" s="16" t="n"/>
      <c r="P346" s="16" t="n"/>
      <c r="Q346" s="16" t="n"/>
      <c r="R346" s="16" t="n"/>
      <c r="S346" s="16" t="n"/>
      <c r="T346" s="16" t="n"/>
      <c r="U346" s="16" t="n"/>
      <c r="V346" s="16" t="n"/>
      <c r="W346" s="16" t="n"/>
      <c r="X346" s="16" t="n"/>
      <c r="Y346" s="16" t="n"/>
      <c r="Z346" s="16" t="n"/>
    </row>
    <row r="347" ht="12.75" customHeight="1" s="588">
      <c r="A347" s="595" t="n"/>
      <c r="K347" s="596" t="n"/>
      <c r="L347" s="16" t="n"/>
      <c r="M347" s="16" t="n"/>
      <c r="N347" s="16" t="n"/>
      <c r="O347" s="16" t="n"/>
      <c r="P347" s="16" t="n"/>
      <c r="Q347" s="16" t="n"/>
      <c r="R347" s="16" t="n"/>
      <c r="S347" s="16" t="n"/>
      <c r="T347" s="16" t="n"/>
      <c r="U347" s="16" t="n"/>
      <c r="V347" s="16" t="n"/>
      <c r="W347" s="16" t="n"/>
      <c r="X347" s="16" t="n"/>
      <c r="Y347" s="16" t="n"/>
      <c r="Z347" s="16" t="n"/>
    </row>
    <row r="348" ht="12.75" customHeight="1" s="588">
      <c r="A348" s="595" t="n"/>
      <c r="K348" s="596" t="n"/>
      <c r="L348" s="16" t="n"/>
      <c r="M348" s="16" t="n"/>
      <c r="N348" s="16" t="n"/>
      <c r="O348" s="16" t="n"/>
      <c r="P348" s="16" t="n"/>
      <c r="Q348" s="16" t="n"/>
      <c r="R348" s="16" t="n"/>
      <c r="S348" s="16" t="n"/>
      <c r="T348" s="16" t="n"/>
      <c r="U348" s="16" t="n"/>
      <c r="V348" s="16" t="n"/>
      <c r="W348" s="16" t="n"/>
      <c r="X348" s="16" t="n"/>
      <c r="Y348" s="16" t="n"/>
      <c r="Z348" s="16" t="n"/>
    </row>
    <row r="349" ht="12.75" customHeight="1" s="588">
      <c r="A349" s="597" t="n"/>
      <c r="B349" s="598" t="n"/>
      <c r="C349" s="598" t="n"/>
      <c r="D349" s="598" t="n"/>
      <c r="E349" s="598" t="n"/>
      <c r="F349" s="598" t="n"/>
      <c r="G349" s="598" t="n"/>
      <c r="H349" s="598" t="n"/>
      <c r="I349" s="598" t="n"/>
      <c r="J349" s="598" t="n"/>
      <c r="K349" s="599" t="n"/>
      <c r="L349" s="16" t="n"/>
      <c r="M349" s="16" t="n"/>
      <c r="N349" s="16" t="n"/>
      <c r="O349" s="16" t="n"/>
      <c r="P349" s="16" t="n"/>
      <c r="Q349" s="16" t="n"/>
      <c r="R349" s="16" t="n"/>
      <c r="S349" s="16" t="n"/>
      <c r="T349" s="16" t="n"/>
      <c r="U349" s="16" t="n"/>
      <c r="V349" s="16" t="n"/>
      <c r="W349" s="16" t="n"/>
      <c r="X349" s="16" t="n"/>
      <c r="Y349" s="16" t="n"/>
      <c r="Z349" s="16" t="n"/>
    </row>
    <row r="350" ht="12.75" customHeight="1" s="588">
      <c r="A350" s="1" t="n"/>
      <c r="B350" s="1" t="n"/>
      <c r="C350" s="1" t="n"/>
      <c r="D350" s="1" t="n"/>
      <c r="E350" s="1" t="n"/>
      <c r="F350" s="1" t="n"/>
      <c r="G350" s="1" t="n"/>
      <c r="H350" s="1" t="n"/>
      <c r="I350" s="1" t="n"/>
      <c r="J350" s="1" t="n"/>
      <c r="K350" s="1" t="n"/>
      <c r="L350" s="16" t="n"/>
      <c r="M350" s="16" t="n"/>
      <c r="N350" s="16" t="n"/>
      <c r="O350" s="16" t="n"/>
      <c r="P350" s="16" t="n"/>
      <c r="Q350" s="16" t="n"/>
      <c r="R350" s="16" t="n"/>
      <c r="S350" s="16" t="n"/>
      <c r="T350" s="16" t="n"/>
      <c r="U350" s="16" t="n"/>
      <c r="V350" s="16" t="n"/>
      <c r="W350" s="16" t="n"/>
      <c r="X350" s="16" t="n"/>
      <c r="Y350" s="16" t="n"/>
      <c r="Z350" s="16" t="n"/>
    </row>
    <row r="351" ht="12.75" customHeight="1" s="588">
      <c r="A351" s="8" t="inlineStr">
        <is>
          <t>¿CÓMO?</t>
        </is>
      </c>
      <c r="B351" s="1" t="n"/>
      <c r="C351" s="1" t="n"/>
      <c r="D351" s="1" t="n"/>
      <c r="E351" s="1" t="n"/>
      <c r="F351" s="1" t="n"/>
      <c r="G351" s="1" t="n"/>
      <c r="H351" s="1" t="n"/>
      <c r="I351" s="1" t="n"/>
      <c r="J351" s="1" t="n"/>
      <c r="K351" s="185" t="inlineStr">
        <is>
          <t>Plan de Infraestructura Informática y Marketing Digital</t>
        </is>
      </c>
      <c r="L351" s="16" t="n"/>
      <c r="M351" s="16" t="n"/>
      <c r="N351" s="16" t="n"/>
      <c r="O351" s="16" t="n"/>
      <c r="P351" s="16" t="n"/>
      <c r="Q351" s="16" t="n"/>
      <c r="R351" s="16" t="n"/>
      <c r="S351" s="16" t="n"/>
      <c r="T351" s="16" t="n"/>
      <c r="U351" s="16" t="n"/>
      <c r="V351" s="16" t="n"/>
      <c r="W351" s="16" t="n"/>
      <c r="X351" s="16" t="n"/>
      <c r="Y351" s="16" t="n"/>
      <c r="Z351" s="16" t="n"/>
    </row>
    <row r="352" ht="12.75" customHeight="1" s="588">
      <c r="A352" s="1" t="n"/>
      <c r="B352" s="1" t="n"/>
      <c r="C352" s="1" t="n"/>
      <c r="D352" s="1" t="n"/>
      <c r="E352" s="1" t="n"/>
      <c r="F352" s="1" t="n"/>
      <c r="G352" s="1" t="n"/>
      <c r="H352" s="1" t="n"/>
      <c r="I352" s="1" t="n"/>
      <c r="J352" s="1" t="n"/>
      <c r="K352" s="1" t="n"/>
      <c r="L352" s="16" t="n"/>
      <c r="M352" s="16" t="n"/>
      <c r="N352" s="16" t="n"/>
      <c r="O352" s="16" t="n"/>
      <c r="P352" s="16" t="n"/>
      <c r="Q352" s="16" t="n"/>
      <c r="R352" s="16" t="n"/>
      <c r="S352" s="16" t="n"/>
      <c r="T352" s="16" t="n"/>
      <c r="U352" s="16" t="n"/>
      <c r="V352" s="16" t="n"/>
      <c r="W352" s="16" t="n"/>
      <c r="X352" s="16" t="n"/>
      <c r="Y352" s="16" t="n"/>
      <c r="Z352" s="16" t="n"/>
    </row>
    <row r="353" ht="12.75" customHeight="1" s="588">
      <c r="A353" s="1" t="n"/>
      <c r="B353" s="1" t="n"/>
      <c r="C353" s="1" t="n"/>
      <c r="D353" s="1" t="n"/>
      <c r="E353" s="1" t="n"/>
      <c r="F353" s="130" t="inlineStr">
        <is>
          <t>Otras Herramientas</t>
        </is>
      </c>
      <c r="G353" s="1" t="n"/>
      <c r="H353" s="1" t="n"/>
      <c r="I353" s="1" t="n"/>
      <c r="J353" s="1" t="n"/>
      <c r="K353" s="1" t="n"/>
      <c r="L353" s="16" t="n"/>
      <c r="M353" s="16" t="n"/>
      <c r="N353" s="16" t="n"/>
      <c r="O353" s="16" t="n"/>
      <c r="P353" s="16" t="n"/>
      <c r="Q353" s="16" t="n"/>
      <c r="R353" s="16" t="n"/>
      <c r="S353" s="16" t="n"/>
      <c r="T353" s="16" t="n"/>
      <c r="U353" s="16" t="n"/>
      <c r="V353" s="16" t="n"/>
      <c r="W353" s="16" t="n"/>
      <c r="X353" s="16" t="n"/>
      <c r="Y353" s="16" t="n"/>
      <c r="Z353" s="16" t="n"/>
    </row>
    <row r="354" ht="12.75" customHeight="1" s="588">
      <c r="A354" s="696" t="n"/>
      <c r="B354" s="593" t="n"/>
      <c r="C354" s="593" t="n"/>
      <c r="D354" s="593" t="n"/>
      <c r="E354" s="593" t="n"/>
      <c r="F354" s="593" t="n"/>
      <c r="G354" s="593" t="n"/>
      <c r="H354" s="593" t="n"/>
      <c r="I354" s="593" t="n"/>
      <c r="J354" s="593" t="n"/>
      <c r="K354" s="594" t="n"/>
      <c r="L354" s="16" t="n"/>
      <c r="M354" s="16" t="n"/>
      <c r="N354" s="16" t="n"/>
      <c r="O354" s="16" t="n"/>
      <c r="P354" s="16" t="n"/>
      <c r="Q354" s="16" t="n"/>
      <c r="R354" s="16" t="n"/>
      <c r="S354" s="16" t="n"/>
      <c r="T354" s="16" t="n"/>
      <c r="U354" s="16" t="n"/>
      <c r="V354" s="16" t="n"/>
      <c r="W354" s="16" t="n"/>
      <c r="X354" s="16" t="n"/>
      <c r="Y354" s="16" t="n"/>
      <c r="Z354" s="16" t="n"/>
    </row>
    <row r="355" ht="12.75" customHeight="1" s="588">
      <c r="A355" s="595" t="n"/>
      <c r="K355" s="596" t="n"/>
      <c r="L355" s="16" t="n"/>
      <c r="M355" s="16" t="n"/>
      <c r="N355" s="16" t="n"/>
      <c r="O355" s="16" t="n"/>
      <c r="P355" s="16" t="n"/>
      <c r="Q355" s="16" t="n"/>
      <c r="R355" s="16" t="n"/>
      <c r="S355" s="16" t="n"/>
      <c r="T355" s="16" t="n"/>
      <c r="U355" s="16" t="n"/>
      <c r="V355" s="16" t="n"/>
      <c r="W355" s="16" t="n"/>
      <c r="X355" s="16" t="n"/>
      <c r="Y355" s="16" t="n"/>
      <c r="Z355" s="16" t="n"/>
    </row>
    <row r="356" ht="12.75" customHeight="1" s="588">
      <c r="A356" s="595" t="n"/>
      <c r="K356" s="596" t="n"/>
      <c r="L356" s="16" t="n"/>
      <c r="M356" s="16" t="n"/>
      <c r="N356" s="16" t="n"/>
      <c r="O356" s="16" t="n"/>
      <c r="P356" s="16" t="n"/>
      <c r="Q356" s="16" t="n"/>
      <c r="R356" s="16" t="n"/>
      <c r="S356" s="16" t="n"/>
      <c r="T356" s="16" t="n"/>
      <c r="U356" s="16" t="n"/>
      <c r="V356" s="16" t="n"/>
      <c r="W356" s="16" t="n"/>
      <c r="X356" s="16" t="n"/>
      <c r="Y356" s="16" t="n"/>
      <c r="Z356" s="16" t="n"/>
    </row>
    <row r="357" ht="12.75" customHeight="1" s="588">
      <c r="A357" s="595" t="n"/>
      <c r="K357" s="596" t="n"/>
      <c r="L357" s="16" t="n"/>
      <c r="M357" s="16" t="n"/>
      <c r="N357" s="16" t="n"/>
      <c r="O357" s="16" t="n"/>
      <c r="P357" s="16" t="n"/>
      <c r="Q357" s="16" t="n"/>
      <c r="R357" s="16" t="n"/>
      <c r="S357" s="16" t="n"/>
      <c r="T357" s="16" t="n"/>
      <c r="U357" s="16" t="n"/>
      <c r="V357" s="16" t="n"/>
      <c r="W357" s="16" t="n"/>
      <c r="X357" s="16" t="n"/>
      <c r="Y357" s="16" t="n"/>
      <c r="Z357" s="16" t="n"/>
    </row>
    <row r="358" ht="12.75" customHeight="1" s="588">
      <c r="A358" s="595" t="n"/>
      <c r="K358" s="596" t="n"/>
      <c r="L358" s="16" t="n"/>
      <c r="M358" s="16" t="n"/>
      <c r="N358" s="16" t="n"/>
      <c r="O358" s="16" t="n"/>
      <c r="P358" s="16" t="n"/>
      <c r="Q358" s="16" t="n"/>
      <c r="R358" s="16" t="n"/>
      <c r="S358" s="16" t="n"/>
      <c r="T358" s="16" t="n"/>
      <c r="U358" s="16" t="n"/>
      <c r="V358" s="16" t="n"/>
      <c r="W358" s="16" t="n"/>
      <c r="X358" s="16" t="n"/>
      <c r="Y358" s="16" t="n"/>
      <c r="Z358" s="16" t="n"/>
    </row>
    <row r="359" ht="12.75" customHeight="1" s="588">
      <c r="A359" s="595" t="n"/>
      <c r="K359" s="596" t="n"/>
      <c r="L359" s="16" t="n"/>
      <c r="M359" s="16" t="n"/>
      <c r="N359" s="16" t="n"/>
      <c r="O359" s="16" t="n"/>
      <c r="P359" s="16" t="n"/>
      <c r="Q359" s="16" t="n"/>
      <c r="R359" s="16" t="n"/>
      <c r="S359" s="16" t="n"/>
      <c r="T359" s="16" t="n"/>
      <c r="U359" s="16" t="n"/>
      <c r="V359" s="16" t="n"/>
      <c r="W359" s="16" t="n"/>
      <c r="X359" s="16" t="n"/>
      <c r="Y359" s="16" t="n"/>
      <c r="Z359" s="16" t="n"/>
    </row>
    <row r="360" ht="12.75" customHeight="1" s="588">
      <c r="A360" s="595" t="n"/>
      <c r="K360" s="596" t="n"/>
      <c r="L360" s="16" t="n"/>
      <c r="M360" s="16" t="n"/>
      <c r="N360" s="16" t="n"/>
      <c r="O360" s="16" t="n"/>
      <c r="P360" s="16" t="n"/>
      <c r="Q360" s="16" t="n"/>
      <c r="R360" s="16" t="n"/>
      <c r="S360" s="16" t="n"/>
      <c r="T360" s="16" t="n"/>
      <c r="U360" s="16" t="n"/>
      <c r="V360" s="16" t="n"/>
      <c r="W360" s="16" t="n"/>
      <c r="X360" s="16" t="n"/>
      <c r="Y360" s="16" t="n"/>
      <c r="Z360" s="16" t="n"/>
    </row>
    <row r="361" ht="12.75" customHeight="1" s="588">
      <c r="A361" s="595" t="n"/>
      <c r="K361" s="596" t="n"/>
      <c r="L361" s="16" t="n"/>
      <c r="M361" s="16" t="n"/>
      <c r="N361" s="16" t="n"/>
      <c r="O361" s="16" t="n"/>
      <c r="P361" s="16" t="n"/>
      <c r="Q361" s="16" t="n"/>
      <c r="R361" s="16" t="n"/>
      <c r="S361" s="16" t="n"/>
      <c r="T361" s="16" t="n"/>
      <c r="U361" s="16" t="n"/>
      <c r="V361" s="16" t="n"/>
      <c r="W361" s="16" t="n"/>
      <c r="X361" s="16" t="n"/>
      <c r="Y361" s="16" t="n"/>
      <c r="Z361" s="16" t="n"/>
    </row>
    <row r="362" ht="12.75" customHeight="1" s="588">
      <c r="A362" s="595" t="n"/>
      <c r="K362" s="596" t="n"/>
      <c r="L362" s="16" t="n"/>
      <c r="M362" s="16" t="n"/>
      <c r="N362" s="16" t="n"/>
      <c r="O362" s="16" t="n"/>
      <c r="P362" s="16" t="n"/>
      <c r="Q362" s="16" t="n"/>
      <c r="R362" s="16" t="n"/>
      <c r="S362" s="16" t="n"/>
      <c r="T362" s="16" t="n"/>
      <c r="U362" s="16" t="n"/>
      <c r="V362" s="16" t="n"/>
      <c r="W362" s="16" t="n"/>
      <c r="X362" s="16" t="n"/>
      <c r="Y362" s="16" t="n"/>
      <c r="Z362" s="16" t="n"/>
    </row>
    <row r="363" ht="12.75" customHeight="1" s="588">
      <c r="A363" s="595" t="n"/>
      <c r="K363" s="596" t="n"/>
      <c r="L363" s="16" t="n"/>
      <c r="M363" s="16" t="n"/>
      <c r="N363" s="16" t="n"/>
      <c r="O363" s="16" t="n"/>
      <c r="P363" s="16" t="n"/>
      <c r="Q363" s="16" t="n"/>
      <c r="R363" s="16" t="n"/>
      <c r="S363" s="16" t="n"/>
      <c r="T363" s="16" t="n"/>
      <c r="U363" s="16" t="n"/>
      <c r="V363" s="16" t="n"/>
      <c r="W363" s="16" t="n"/>
      <c r="X363" s="16" t="n"/>
      <c r="Y363" s="16" t="n"/>
      <c r="Z363" s="16" t="n"/>
    </row>
    <row r="364" ht="12.75" customHeight="1" s="588">
      <c r="A364" s="595" t="n"/>
      <c r="K364" s="596" t="n"/>
      <c r="L364" s="16" t="n"/>
      <c r="M364" s="16" t="n"/>
      <c r="N364" s="16" t="n"/>
      <c r="O364" s="16" t="n"/>
      <c r="P364" s="16" t="n"/>
      <c r="Q364" s="16" t="n"/>
      <c r="R364" s="16" t="n"/>
      <c r="S364" s="16" t="n"/>
      <c r="T364" s="16" t="n"/>
      <c r="U364" s="16" t="n"/>
      <c r="V364" s="16" t="n"/>
      <c r="W364" s="16" t="n"/>
      <c r="X364" s="16" t="n"/>
      <c r="Y364" s="16" t="n"/>
      <c r="Z364" s="16" t="n"/>
    </row>
    <row r="365" ht="12.75" customHeight="1" s="588">
      <c r="A365" s="595" t="n"/>
      <c r="K365" s="596" t="n"/>
      <c r="L365" s="16" t="n"/>
      <c r="M365" s="16" t="n"/>
      <c r="N365" s="16" t="n"/>
      <c r="O365" s="16" t="n"/>
      <c r="P365" s="16" t="n"/>
      <c r="Q365" s="16" t="n"/>
      <c r="R365" s="16" t="n"/>
      <c r="S365" s="16" t="n"/>
      <c r="T365" s="16" t="n"/>
      <c r="U365" s="16" t="n"/>
      <c r="V365" s="16" t="n"/>
      <c r="W365" s="16" t="n"/>
      <c r="X365" s="16" t="n"/>
      <c r="Y365" s="16" t="n"/>
      <c r="Z365" s="16" t="n"/>
    </row>
    <row r="366" ht="12.75" customHeight="1" s="588">
      <c r="A366" s="595" t="n"/>
      <c r="K366" s="596" t="n"/>
      <c r="L366" s="16" t="n"/>
      <c r="M366" s="16" t="n"/>
      <c r="N366" s="16" t="n"/>
      <c r="O366" s="16" t="n"/>
      <c r="P366" s="16" t="n"/>
      <c r="Q366" s="16" t="n"/>
      <c r="R366" s="16" t="n"/>
      <c r="S366" s="16" t="n"/>
      <c r="T366" s="16" t="n"/>
      <c r="U366" s="16" t="n"/>
      <c r="V366" s="16" t="n"/>
      <c r="W366" s="16" t="n"/>
      <c r="X366" s="16" t="n"/>
      <c r="Y366" s="16" t="n"/>
      <c r="Z366" s="16" t="n"/>
    </row>
    <row r="367" ht="12.75" customHeight="1" s="588">
      <c r="A367" s="597" t="n"/>
      <c r="B367" s="598" t="n"/>
      <c r="C367" s="598" t="n"/>
      <c r="D367" s="598" t="n"/>
      <c r="E367" s="598" t="n"/>
      <c r="F367" s="598" t="n"/>
      <c r="G367" s="598" t="n"/>
      <c r="H367" s="598" t="n"/>
      <c r="I367" s="598" t="n"/>
      <c r="J367" s="598" t="n"/>
      <c r="K367" s="599" t="n"/>
      <c r="L367" s="16" t="n"/>
      <c r="M367" s="16" t="n"/>
      <c r="N367" s="16" t="n"/>
      <c r="O367" s="16" t="n"/>
      <c r="P367" s="16" t="n"/>
      <c r="Q367" s="16" t="n"/>
      <c r="R367" s="16" t="n"/>
      <c r="S367" s="16" t="n"/>
      <c r="T367" s="16" t="n"/>
      <c r="U367" s="16" t="n"/>
      <c r="V367" s="16" t="n"/>
      <c r="W367" s="16" t="n"/>
      <c r="X367" s="16" t="n"/>
      <c r="Y367" s="16" t="n"/>
      <c r="Z367" s="16" t="n"/>
    </row>
    <row r="368" ht="12.75" customHeight="1" s="588">
      <c r="A368" s="1" t="n"/>
      <c r="B368" s="1" t="n"/>
      <c r="C368" s="1" t="n"/>
      <c r="D368" s="1" t="n"/>
      <c r="E368" s="1" t="n"/>
      <c r="F368" s="1" t="n"/>
      <c r="G368" s="1" t="n"/>
      <c r="H368" s="1" t="n"/>
      <c r="I368" s="1" t="n"/>
      <c r="J368" s="1" t="n"/>
      <c r="K368" s="1" t="n"/>
      <c r="L368" s="16" t="n"/>
      <c r="M368" s="16" t="n"/>
      <c r="N368" s="16" t="n"/>
      <c r="O368" s="16" t="n"/>
      <c r="P368" s="16" t="n"/>
      <c r="Q368" s="16" t="n"/>
      <c r="R368" s="16" t="n"/>
      <c r="S368" s="16" t="n"/>
      <c r="T368" s="16" t="n"/>
      <c r="U368" s="16" t="n"/>
      <c r="V368" s="16" t="n"/>
      <c r="W368" s="16" t="n"/>
      <c r="X368" s="16" t="n"/>
      <c r="Y368" s="16" t="n"/>
      <c r="Z368" s="16" t="n"/>
    </row>
    <row r="369" ht="12.75" customHeight="1" s="588">
      <c r="A369" s="1" t="n"/>
      <c r="B369" s="1" t="n"/>
      <c r="C369" s="1" t="n"/>
      <c r="D369" s="1" t="n"/>
      <c r="E369" s="1" t="n"/>
      <c r="F369" s="130" t="inlineStr">
        <is>
          <t>Otras Recomendaciones</t>
        </is>
      </c>
      <c r="G369" s="1" t="n"/>
      <c r="H369" s="1" t="n"/>
      <c r="I369" s="1" t="n"/>
      <c r="J369" s="1" t="n"/>
      <c r="K369" s="1" t="n"/>
      <c r="L369" s="16" t="n"/>
      <c r="M369" s="16" t="n"/>
      <c r="N369" s="16" t="n"/>
      <c r="O369" s="16" t="n"/>
      <c r="P369" s="16" t="n"/>
      <c r="Q369" s="16" t="n"/>
      <c r="R369" s="16" t="n"/>
      <c r="S369" s="16" t="n"/>
      <c r="T369" s="16" t="n"/>
      <c r="U369" s="16" t="n"/>
      <c r="V369" s="16" t="n"/>
      <c r="W369" s="16" t="n"/>
      <c r="X369" s="16" t="n"/>
      <c r="Y369" s="16" t="n"/>
      <c r="Z369" s="16" t="n"/>
    </row>
    <row r="370" ht="12.75" customHeight="1" s="588">
      <c r="A370" s="592" t="n"/>
      <c r="B370" s="593" t="n"/>
      <c r="C370" s="593" t="n"/>
      <c r="D370" s="593" t="n"/>
      <c r="E370" s="593" t="n"/>
      <c r="F370" s="593" t="n"/>
      <c r="G370" s="593" t="n"/>
      <c r="H370" s="593" t="n"/>
      <c r="I370" s="593" t="n"/>
      <c r="J370" s="593" t="n"/>
      <c r="K370" s="594" t="n"/>
      <c r="L370" s="16" t="n"/>
      <c r="M370" s="16" t="n"/>
      <c r="N370" s="16" t="n"/>
      <c r="O370" s="16" t="n"/>
      <c r="P370" s="16" t="n"/>
      <c r="Q370" s="16" t="n"/>
      <c r="R370" s="16" t="n"/>
      <c r="S370" s="16" t="n"/>
      <c r="T370" s="16" t="n"/>
      <c r="U370" s="16" t="n"/>
      <c r="V370" s="16" t="n"/>
      <c r="W370" s="16" t="n"/>
      <c r="X370" s="16" t="n"/>
      <c r="Y370" s="16" t="n"/>
      <c r="Z370" s="16" t="n"/>
    </row>
    <row r="371" ht="12.75" customHeight="1" s="588">
      <c r="A371" s="595" t="n"/>
      <c r="K371" s="596" t="n"/>
      <c r="L371" s="16" t="n"/>
      <c r="M371" s="16" t="n"/>
      <c r="N371" s="16" t="n"/>
      <c r="O371" s="16" t="n"/>
      <c r="P371" s="16" t="n"/>
      <c r="Q371" s="16" t="n"/>
      <c r="R371" s="16" t="n"/>
      <c r="S371" s="16" t="n"/>
      <c r="T371" s="16" t="n"/>
      <c r="U371" s="16" t="n"/>
      <c r="V371" s="16" t="n"/>
      <c r="W371" s="16" t="n"/>
      <c r="X371" s="16" t="n"/>
      <c r="Y371" s="16" t="n"/>
      <c r="Z371" s="16" t="n"/>
    </row>
    <row r="372" ht="12.75" customHeight="1" s="588">
      <c r="A372" s="595" t="n"/>
      <c r="K372" s="596" t="n"/>
      <c r="L372" s="16" t="n"/>
      <c r="M372" s="16" t="n"/>
      <c r="N372" s="16" t="n"/>
      <c r="O372" s="16" t="n"/>
      <c r="P372" s="16" t="n"/>
      <c r="Q372" s="16" t="n"/>
      <c r="R372" s="16" t="n"/>
      <c r="S372" s="16" t="n"/>
      <c r="T372" s="16" t="n"/>
      <c r="U372" s="16" t="n"/>
      <c r="V372" s="16" t="n"/>
      <c r="W372" s="16" t="n"/>
      <c r="X372" s="16" t="n"/>
      <c r="Y372" s="16" t="n"/>
      <c r="Z372" s="16" t="n"/>
    </row>
    <row r="373" ht="12.75" customHeight="1" s="588">
      <c r="A373" s="595" t="n"/>
      <c r="K373" s="596" t="n"/>
      <c r="L373" s="16" t="n"/>
      <c r="M373" s="16" t="n"/>
      <c r="N373" s="16" t="n"/>
      <c r="O373" s="16" t="n"/>
      <c r="P373" s="16" t="n"/>
      <c r="Q373" s="16" t="n"/>
      <c r="R373" s="16" t="n"/>
      <c r="S373" s="16" t="n"/>
      <c r="T373" s="16" t="n"/>
      <c r="U373" s="16" t="n"/>
      <c r="V373" s="16" t="n"/>
      <c r="W373" s="16" t="n"/>
      <c r="X373" s="16" t="n"/>
      <c r="Y373" s="16" t="n"/>
      <c r="Z373" s="16" t="n"/>
    </row>
    <row r="374" ht="12.75" customHeight="1" s="588">
      <c r="A374" s="595" t="n"/>
      <c r="K374" s="596" t="n"/>
      <c r="L374" s="16" t="n"/>
      <c r="M374" s="16" t="n"/>
      <c r="N374" s="16" t="n"/>
      <c r="O374" s="16" t="n"/>
      <c r="P374" s="16" t="n"/>
      <c r="Q374" s="16" t="n"/>
      <c r="R374" s="16" t="n"/>
      <c r="S374" s="16" t="n"/>
      <c r="T374" s="16" t="n"/>
      <c r="U374" s="16" t="n"/>
      <c r="V374" s="16" t="n"/>
      <c r="W374" s="16" t="n"/>
      <c r="X374" s="16" t="n"/>
      <c r="Y374" s="16" t="n"/>
      <c r="Z374" s="16" t="n"/>
    </row>
    <row r="375" ht="12.75" customHeight="1" s="588">
      <c r="A375" s="595" t="n"/>
      <c r="K375" s="596" t="n"/>
      <c r="L375" s="16" t="n"/>
      <c r="M375" s="16" t="n"/>
      <c r="N375" s="16" t="n"/>
      <c r="O375" s="16" t="n"/>
      <c r="P375" s="16" t="n"/>
      <c r="Q375" s="16" t="n"/>
      <c r="R375" s="16" t="n"/>
      <c r="S375" s="16" t="n"/>
      <c r="T375" s="16" t="n"/>
      <c r="U375" s="16" t="n"/>
      <c r="V375" s="16" t="n"/>
      <c r="W375" s="16" t="n"/>
      <c r="X375" s="16" t="n"/>
      <c r="Y375" s="16" t="n"/>
      <c r="Z375" s="16" t="n"/>
    </row>
    <row r="376" ht="12.75" customHeight="1" s="588">
      <c r="A376" s="595" t="n"/>
      <c r="K376" s="596" t="n"/>
      <c r="L376" s="16" t="n"/>
      <c r="M376" s="16" t="n"/>
      <c r="N376" s="16" t="n"/>
      <c r="O376" s="16" t="n"/>
      <c r="P376" s="16" t="n"/>
      <c r="Q376" s="16" t="n"/>
      <c r="R376" s="16" t="n"/>
      <c r="S376" s="16" t="n"/>
      <c r="T376" s="16" t="n"/>
      <c r="U376" s="16" t="n"/>
      <c r="V376" s="16" t="n"/>
      <c r="W376" s="16" t="n"/>
      <c r="X376" s="16" t="n"/>
      <c r="Y376" s="16" t="n"/>
      <c r="Z376" s="16" t="n"/>
    </row>
    <row r="377" ht="12.75" customHeight="1" s="588">
      <c r="A377" s="595" t="n"/>
      <c r="K377" s="596" t="n"/>
      <c r="L377" s="16" t="n"/>
      <c r="M377" s="16" t="n"/>
      <c r="N377" s="16" t="n"/>
      <c r="O377" s="16" t="n"/>
      <c r="P377" s="16" t="n"/>
      <c r="Q377" s="16" t="n"/>
      <c r="R377" s="16" t="n"/>
      <c r="S377" s="16" t="n"/>
      <c r="T377" s="16" t="n"/>
      <c r="U377" s="16" t="n"/>
      <c r="V377" s="16" t="n"/>
      <c r="W377" s="16" t="n"/>
      <c r="X377" s="16" t="n"/>
      <c r="Y377" s="16" t="n"/>
      <c r="Z377" s="16" t="n"/>
    </row>
    <row r="378" ht="12.75" customHeight="1" s="588">
      <c r="A378" s="595" t="n"/>
      <c r="K378" s="596" t="n"/>
      <c r="L378" s="16" t="n"/>
      <c r="M378" s="16" t="n"/>
      <c r="N378" s="16" t="n"/>
      <c r="O378" s="16" t="n"/>
      <c r="P378" s="16" t="n"/>
      <c r="Q378" s="16" t="n"/>
      <c r="R378" s="16" t="n"/>
      <c r="S378" s="16" t="n"/>
      <c r="T378" s="16" t="n"/>
      <c r="U378" s="16" t="n"/>
      <c r="V378" s="16" t="n"/>
      <c r="W378" s="16" t="n"/>
      <c r="X378" s="16" t="n"/>
      <c r="Y378" s="16" t="n"/>
      <c r="Z378" s="16" t="n"/>
    </row>
    <row r="379" ht="12.75" customHeight="1" s="588">
      <c r="A379" s="595" t="n"/>
      <c r="K379" s="596" t="n"/>
      <c r="L379" s="16" t="n"/>
      <c r="M379" s="16" t="n"/>
      <c r="N379" s="16" t="n"/>
      <c r="O379" s="16" t="n"/>
      <c r="P379" s="16" t="n"/>
      <c r="Q379" s="16" t="n"/>
      <c r="R379" s="16" t="n"/>
      <c r="S379" s="16" t="n"/>
      <c r="T379" s="16" t="n"/>
      <c r="U379" s="16" t="n"/>
      <c r="V379" s="16" t="n"/>
      <c r="W379" s="16" t="n"/>
      <c r="X379" s="16" t="n"/>
      <c r="Y379" s="16" t="n"/>
      <c r="Z379" s="16" t="n"/>
    </row>
    <row r="380" ht="12.75" customHeight="1" s="588">
      <c r="A380" s="595" t="n"/>
      <c r="K380" s="596" t="n"/>
      <c r="L380" s="16" t="n"/>
      <c r="M380" s="16" t="n"/>
      <c r="N380" s="16" t="n"/>
      <c r="O380" s="16" t="n"/>
      <c r="P380" s="16" t="n"/>
      <c r="Q380" s="16" t="n"/>
      <c r="R380" s="16" t="n"/>
      <c r="S380" s="16" t="n"/>
      <c r="T380" s="16" t="n"/>
      <c r="U380" s="16" t="n"/>
      <c r="V380" s="16" t="n"/>
      <c r="W380" s="16" t="n"/>
      <c r="X380" s="16" t="n"/>
      <c r="Y380" s="16" t="n"/>
      <c r="Z380" s="16" t="n"/>
    </row>
    <row r="381" ht="12.75" customHeight="1" s="588">
      <c r="A381" s="595" t="n"/>
      <c r="K381" s="596" t="n"/>
      <c r="L381" s="16" t="n"/>
      <c r="M381" s="16" t="n"/>
      <c r="N381" s="16" t="n"/>
      <c r="O381" s="16" t="n"/>
      <c r="P381" s="16" t="n"/>
      <c r="Q381" s="16" t="n"/>
      <c r="R381" s="16" t="n"/>
      <c r="S381" s="16" t="n"/>
      <c r="T381" s="16" t="n"/>
      <c r="U381" s="16" t="n"/>
      <c r="V381" s="16" t="n"/>
      <c r="W381" s="16" t="n"/>
      <c r="X381" s="16" t="n"/>
      <c r="Y381" s="16" t="n"/>
      <c r="Z381" s="16" t="n"/>
    </row>
    <row r="382" ht="12.75" customHeight="1" s="588">
      <c r="A382" s="595" t="n"/>
      <c r="K382" s="596" t="n"/>
      <c r="L382" s="16" t="n"/>
      <c r="M382" s="16" t="n"/>
      <c r="N382" s="16" t="n"/>
      <c r="O382" s="16" t="n"/>
      <c r="P382" s="16" t="n"/>
      <c r="Q382" s="16" t="n"/>
      <c r="R382" s="16" t="n"/>
      <c r="S382" s="16" t="n"/>
      <c r="T382" s="16" t="n"/>
      <c r="U382" s="16" t="n"/>
      <c r="V382" s="16" t="n"/>
      <c r="W382" s="16" t="n"/>
      <c r="X382" s="16" t="n"/>
      <c r="Y382" s="16" t="n"/>
      <c r="Z382" s="16" t="n"/>
    </row>
    <row r="383" ht="12.75" customHeight="1" s="588">
      <c r="A383" s="597" t="n"/>
      <c r="B383" s="598" t="n"/>
      <c r="C383" s="598" t="n"/>
      <c r="D383" s="598" t="n"/>
      <c r="E383" s="598" t="n"/>
      <c r="F383" s="598" t="n"/>
      <c r="G383" s="598" t="n"/>
      <c r="H383" s="598" t="n"/>
      <c r="I383" s="598" t="n"/>
      <c r="J383" s="598" t="n"/>
      <c r="K383" s="599" t="n"/>
      <c r="L383" s="16" t="n"/>
      <c r="M383" s="16" t="n"/>
      <c r="N383" s="16" t="n"/>
      <c r="O383" s="16" t="n"/>
      <c r="P383" s="16" t="n"/>
      <c r="Q383" s="16" t="n"/>
      <c r="R383" s="16" t="n"/>
      <c r="S383" s="16" t="n"/>
      <c r="T383" s="16" t="n"/>
      <c r="U383" s="16" t="n"/>
      <c r="V383" s="16" t="n"/>
      <c r="W383" s="16" t="n"/>
      <c r="X383" s="16" t="n"/>
      <c r="Y383" s="16" t="n"/>
      <c r="Z383" s="16" t="n"/>
    </row>
    <row r="384" ht="12.75" customHeight="1" s="588">
      <c r="A384" s="1" t="n"/>
      <c r="B384" s="1" t="n"/>
      <c r="C384" s="1" t="n"/>
      <c r="D384" s="1" t="n"/>
      <c r="E384" s="1" t="n"/>
      <c r="F384" s="1" t="n"/>
      <c r="G384" s="1" t="n"/>
      <c r="H384" s="1" t="n"/>
      <c r="I384" s="1" t="n"/>
      <c r="J384" s="1" t="n"/>
      <c r="K384" s="1" t="n"/>
      <c r="L384" s="16" t="n"/>
      <c r="M384" s="16" t="n"/>
      <c r="N384" s="16" t="n"/>
      <c r="O384" s="16" t="n"/>
      <c r="P384" s="16" t="n"/>
      <c r="Q384" s="16" t="n"/>
      <c r="R384" s="16" t="n"/>
      <c r="S384" s="16" t="n"/>
      <c r="T384" s="16" t="n"/>
      <c r="U384" s="16" t="n"/>
      <c r="V384" s="16" t="n"/>
      <c r="W384" s="16" t="n"/>
      <c r="X384" s="16" t="n"/>
      <c r="Y384" s="16" t="n"/>
      <c r="Z384" s="16" t="n"/>
    </row>
    <row r="385" ht="12.75" customHeight="1" s="588">
      <c r="A385" s="1" t="n"/>
      <c r="B385" s="1" t="n"/>
      <c r="C385" s="1" t="n"/>
      <c r="D385" s="1" t="n"/>
      <c r="E385" s="1" t="n"/>
      <c r="F385" s="1" t="n"/>
      <c r="G385" s="1" t="n"/>
      <c r="H385" s="1" t="n"/>
      <c r="I385" s="1" t="n"/>
      <c r="J385" s="1" t="n"/>
      <c r="K385" s="1" t="n"/>
      <c r="L385" s="16" t="n"/>
      <c r="M385" s="16" t="n"/>
      <c r="N385" s="16" t="n"/>
      <c r="O385" s="16" t="n"/>
      <c r="P385" s="16" t="n"/>
      <c r="Q385" s="16" t="n"/>
      <c r="R385" s="16" t="n"/>
      <c r="S385" s="16" t="n"/>
      <c r="T385" s="16" t="n"/>
      <c r="U385" s="16" t="n"/>
      <c r="V385" s="16" t="n"/>
      <c r="W385" s="16" t="n"/>
      <c r="X385" s="16" t="n"/>
      <c r="Y385" s="16" t="n"/>
      <c r="Z385" s="16" t="n"/>
    </row>
    <row r="386" ht="12.75" customHeight="1" s="588">
      <c r="A386" s="8" t="inlineStr">
        <is>
          <t>¿CÓMO?</t>
        </is>
      </c>
      <c r="B386" s="1" t="n"/>
      <c r="C386" s="1" t="n"/>
      <c r="D386" s="1" t="n"/>
      <c r="E386" s="1" t="n"/>
      <c r="F386" s="1" t="n"/>
      <c r="G386" s="1" t="n"/>
      <c r="H386" s="1" t="n"/>
      <c r="I386" s="1" t="n"/>
      <c r="J386" s="1" t="n"/>
      <c r="K386" s="185" t="inlineStr">
        <is>
          <t>Plan Jurídico, Fiscal y de RR.HH.</t>
        </is>
      </c>
    </row>
    <row r="387" ht="12.75" customHeight="1" s="588">
      <c r="A387" s="1" t="n"/>
      <c r="B387" s="1" t="n"/>
      <c r="C387" s="1" t="n"/>
      <c r="D387" s="1" t="n"/>
      <c r="E387" s="1" t="n"/>
      <c r="F387" s="1" t="n"/>
      <c r="G387" s="1" t="n"/>
      <c r="H387" s="1" t="n"/>
      <c r="I387" s="1" t="n"/>
      <c r="J387" s="1" t="n"/>
      <c r="K387" s="1" t="n"/>
    </row>
    <row r="388" ht="12.75" customHeight="1" s="588">
      <c r="A388" s="1" t="n"/>
      <c r="B388" s="1" t="n"/>
      <c r="C388" s="1" t="n"/>
      <c r="D388" s="1" t="n"/>
      <c r="E388" s="1" t="n"/>
      <c r="F388" s="1" t="n"/>
      <c r="G388" s="1" t="n"/>
      <c r="H388" s="1" t="n"/>
      <c r="I388" s="1" t="n"/>
      <c r="J388" s="1" t="n"/>
      <c r="K388" s="1" t="n"/>
      <c r="L388" s="16" t="n"/>
      <c r="M388" s="16" t="n"/>
      <c r="N388" s="16" t="n"/>
      <c r="O388" s="16" t="n"/>
      <c r="P388" s="16" t="n"/>
      <c r="Q388" s="16" t="n"/>
      <c r="R388" s="16" t="n"/>
      <c r="S388" s="16" t="n"/>
      <c r="T388" s="16" t="n"/>
      <c r="U388" s="16" t="n"/>
      <c r="V388" s="16" t="n"/>
      <c r="W388" s="16" t="n"/>
      <c r="X388" s="16" t="n"/>
      <c r="Y388" s="16" t="n"/>
      <c r="Z388" s="16" t="n"/>
    </row>
    <row r="389" ht="12.75" customHeight="1" s="588">
      <c r="A389" s="1" t="n"/>
      <c r="B389" s="1" t="n"/>
      <c r="C389" s="1" t="n"/>
      <c r="D389" s="1" t="n"/>
      <c r="E389" s="1" t="n"/>
      <c r="F389" s="1" t="n"/>
      <c r="G389" s="1" t="n"/>
      <c r="H389" s="1" t="n"/>
      <c r="I389" s="1" t="n"/>
      <c r="J389" s="1" t="n"/>
      <c r="K389" s="1" t="n"/>
      <c r="L389" s="16" t="n"/>
      <c r="M389" s="16" t="n"/>
      <c r="N389" s="16" t="n"/>
      <c r="O389" s="16" t="n"/>
      <c r="P389" s="16" t="n"/>
      <c r="Q389" s="16" t="n"/>
      <c r="R389" s="16" t="n"/>
      <c r="S389" s="16" t="n"/>
      <c r="T389" s="16" t="n"/>
      <c r="U389" s="16" t="n"/>
      <c r="V389" s="16" t="n"/>
      <c r="W389" s="16" t="n"/>
      <c r="X389" s="16" t="n"/>
      <c r="Y389" s="16" t="n"/>
      <c r="Z389" s="16" t="n"/>
    </row>
    <row r="390" ht="12.75" customHeight="1" s="588">
      <c r="A390" s="1" t="n"/>
      <c r="B390" s="1" t="n"/>
      <c r="C390" s="1" t="n"/>
      <c r="D390" s="1" t="n"/>
      <c r="E390" s="1" t="n"/>
      <c r="F390" s="1" t="n"/>
      <c r="G390" s="1" t="n"/>
      <c r="H390" s="1" t="n"/>
      <c r="I390" s="1" t="n"/>
      <c r="J390" s="1" t="n"/>
      <c r="K390" s="1" t="n"/>
      <c r="L390" s="16" t="n"/>
      <c r="M390" s="16" t="n"/>
      <c r="N390" s="16" t="n"/>
      <c r="O390" s="16" t="n"/>
      <c r="P390" s="16" t="n"/>
      <c r="Q390" s="16" t="n"/>
      <c r="R390" s="16" t="n"/>
      <c r="S390" s="16" t="n"/>
      <c r="T390" s="16" t="n"/>
      <c r="U390" s="16" t="n"/>
      <c r="V390" s="16" t="n"/>
      <c r="W390" s="16" t="n"/>
      <c r="X390" s="16" t="n"/>
      <c r="Y390" s="16" t="n"/>
      <c r="Z390" s="16" t="n"/>
    </row>
    <row r="391" ht="12.75" customHeight="1" s="588">
      <c r="A391" s="1" t="n"/>
      <c r="B391" s="1" t="n"/>
      <c r="C391" s="1" t="n"/>
      <c r="D391" s="1" t="n"/>
      <c r="E391" s="1" t="n"/>
      <c r="F391" s="1" t="n"/>
      <c r="G391" s="1" t="n"/>
      <c r="H391" s="1" t="n"/>
      <c r="I391" s="1" t="n"/>
      <c r="J391" s="1" t="n"/>
      <c r="K391" s="1" t="n"/>
      <c r="L391" s="16" t="n"/>
      <c r="M391" s="16" t="n"/>
      <c r="N391" s="16" t="n"/>
      <c r="O391" s="16" t="n"/>
      <c r="P391" s="16" t="n"/>
      <c r="Q391" s="16" t="n"/>
      <c r="R391" s="16" t="n"/>
      <c r="S391" s="16" t="n"/>
      <c r="T391" s="16" t="n"/>
      <c r="U391" s="16" t="n"/>
      <c r="V391" s="16" t="n"/>
      <c r="W391" s="16" t="n"/>
      <c r="X391" s="16" t="n"/>
      <c r="Y391" s="16" t="n"/>
      <c r="Z391" s="16" t="n"/>
    </row>
    <row r="392" ht="12.75" customHeight="1" s="588">
      <c r="A392" s="1" t="n"/>
      <c r="B392" s="1" t="n"/>
      <c r="C392" s="1" t="n"/>
      <c r="D392" s="1" t="n"/>
      <c r="E392" s="1" t="n"/>
      <c r="F392" s="1" t="n"/>
      <c r="G392" s="1" t="n"/>
      <c r="H392" s="1" t="n"/>
      <c r="I392" s="1" t="n"/>
      <c r="J392" s="1" t="n"/>
      <c r="K392" s="1" t="n"/>
      <c r="L392" s="16" t="n"/>
      <c r="M392" s="16" t="n"/>
      <c r="N392" s="16" t="n"/>
      <c r="O392" s="16" t="n"/>
      <c r="P392" s="16" t="n"/>
      <c r="Q392" s="16" t="n"/>
      <c r="R392" s="16" t="n"/>
      <c r="S392" s="16" t="n"/>
      <c r="T392" s="16" t="n"/>
      <c r="U392" s="16" t="n"/>
      <c r="V392" s="16" t="n"/>
      <c r="W392" s="16" t="n"/>
      <c r="X392" s="16" t="n"/>
      <c r="Y392" s="16" t="n"/>
      <c r="Z392" s="16" t="n"/>
    </row>
    <row r="393" ht="12.75" customHeight="1" s="588">
      <c r="A393" s="1" t="n"/>
      <c r="B393" s="1" t="n"/>
      <c r="C393" s="1" t="n"/>
      <c r="D393" s="1" t="n"/>
      <c r="E393" s="1" t="n"/>
      <c r="F393" s="1" t="n"/>
      <c r="G393" s="1" t="n"/>
      <c r="H393" s="1" t="n"/>
      <c r="I393" s="1" t="n"/>
      <c r="J393" s="1" t="n"/>
      <c r="K393" s="1" t="n"/>
      <c r="L393" s="16" t="n"/>
      <c r="M393" s="16" t="n"/>
      <c r="N393" s="16" t="n"/>
      <c r="O393" s="16" t="n"/>
      <c r="P393" s="16" t="n"/>
      <c r="Q393" s="16" t="n"/>
      <c r="R393" s="16" t="n"/>
      <c r="S393" s="16" t="n"/>
      <c r="T393" s="16" t="n"/>
      <c r="U393" s="16" t="n"/>
      <c r="V393" s="16" t="n"/>
      <c r="W393" s="16" t="n"/>
      <c r="X393" s="16" t="n"/>
      <c r="Y393" s="16" t="n"/>
      <c r="Z393" s="16" t="n"/>
    </row>
    <row r="394" ht="12.75" customHeight="1" s="588">
      <c r="A394" s="1" t="n"/>
      <c r="B394" s="1" t="n"/>
      <c r="C394" s="1" t="n"/>
      <c r="D394" s="1" t="n"/>
      <c r="E394" s="1" t="n"/>
      <c r="F394" s="1" t="n"/>
      <c r="G394" s="1" t="n"/>
      <c r="H394" s="1" t="n"/>
      <c r="I394" s="1" t="n"/>
      <c r="J394" s="1" t="n"/>
      <c r="K394" s="1" t="n"/>
      <c r="L394" s="16" t="n"/>
      <c r="M394" s="16" t="n"/>
      <c r="N394" s="16" t="n"/>
      <c r="O394" s="16" t="n"/>
      <c r="P394" s="16" t="n"/>
      <c r="Q394" s="16" t="n"/>
      <c r="R394" s="16" t="n"/>
      <c r="S394" s="16" t="n"/>
      <c r="T394" s="16" t="n"/>
      <c r="U394" s="16" t="n"/>
      <c r="V394" s="16" t="n"/>
      <c r="W394" s="16" t="n"/>
      <c r="X394" s="16" t="n"/>
      <c r="Y394" s="16" t="n"/>
      <c r="Z394" s="16" t="n"/>
    </row>
    <row r="395" ht="12.75" customHeight="1" s="588">
      <c r="A395" s="1" t="n"/>
      <c r="B395" s="1" t="n"/>
      <c r="C395" s="1" t="n"/>
      <c r="D395" s="1" t="n"/>
      <c r="E395" s="1" t="n"/>
      <c r="F395" s="1" t="n"/>
      <c r="G395" s="1" t="n"/>
      <c r="H395" s="1" t="n"/>
      <c r="I395" s="1" t="n"/>
      <c r="J395" s="1" t="n"/>
      <c r="K395" s="1" t="n"/>
    </row>
    <row r="396" ht="12.75" customHeight="1" s="588">
      <c r="A396" s="1" t="n"/>
      <c r="B396" s="1" t="n"/>
      <c r="C396" s="702" t="inlineStr">
        <is>
          <t>Forma Jurídica del Negocio:</t>
        </is>
      </c>
      <c r="D396" s="593" t="n"/>
      <c r="E396" s="594" t="n"/>
      <c r="F396" s="643" t="inlineStr">
        <is>
          <t>Sociedad (Civil, Limitada, Anónima)</t>
        </is>
      </c>
      <c r="G396" s="593" t="n"/>
      <c r="H396" s="594" t="n"/>
      <c r="I396" s="1" t="n"/>
      <c r="J396" s="1" t="n"/>
      <c r="K396" s="1" t="n"/>
    </row>
    <row r="397" ht="12.75" customHeight="1" s="588">
      <c r="A397" s="1" t="n"/>
      <c r="B397" s="1" t="n"/>
      <c r="C397" s="595" t="n"/>
      <c r="E397" s="596" t="n"/>
      <c r="F397" s="595" t="n"/>
      <c r="H397" s="596" t="n"/>
      <c r="I397" s="1" t="n"/>
      <c r="J397" s="1" t="n"/>
      <c r="K397" s="1" t="n"/>
    </row>
    <row r="398" ht="12.75" customHeight="1" s="588">
      <c r="A398" s="1" t="n"/>
      <c r="B398" s="1" t="n"/>
      <c r="C398" s="597" t="n"/>
      <c r="D398" s="598" t="n"/>
      <c r="E398" s="599" t="n"/>
      <c r="F398" s="597" t="n"/>
      <c r="G398" s="598" t="n"/>
      <c r="H398" s="599" t="n"/>
      <c r="I398" s="1" t="n"/>
      <c r="J398" s="1" t="n"/>
      <c r="K398" s="1" t="n"/>
    </row>
    <row r="399" ht="12.75" customHeight="1" s="588">
      <c r="A399" s="1" t="n"/>
      <c r="B399" s="1" t="n"/>
      <c r="C399" s="1" t="n"/>
      <c r="D399" s="1" t="n"/>
      <c r="E399" s="1" t="n"/>
      <c r="F399" s="1" t="n"/>
      <c r="G399" s="1" t="n"/>
      <c r="H399" s="1" t="n"/>
      <c r="I399" s="1" t="n"/>
      <c r="J399" s="1" t="n"/>
      <c r="K399" s="1" t="n"/>
    </row>
    <row r="400" ht="12.75" customHeight="1" s="588">
      <c r="A400" s="1" t="n"/>
      <c r="B400" s="1" t="n"/>
      <c r="C400" s="1" t="n"/>
      <c r="D400" s="1" t="n"/>
      <c r="E400" s="1" t="n"/>
      <c r="F400" s="1" t="n"/>
      <c r="G400" s="1" t="n"/>
      <c r="H400" s="1" t="n"/>
      <c r="I400" s="1" t="n"/>
      <c r="J400" s="1" t="n"/>
      <c r="K400" s="1" t="n"/>
    </row>
    <row r="401" ht="12.75" customHeight="1" s="588">
      <c r="A401" s="1" t="n"/>
      <c r="B401" s="1" t="n"/>
      <c r="C401" s="1" t="n"/>
      <c r="D401" s="703" t="inlineStr">
        <is>
          <t>TIPO IMPOSITIVO:</t>
        </is>
      </c>
      <c r="E401" s="594" t="n"/>
      <c r="F401" s="704">
        <f>IF(F396="Sociedad (Civil, Limitada, Anónima)",25%,IF(F396="Servicios Profesionales",15%,IF(F396="Empresario Individual en Estimación Objetiva", "MÓDULOS",20%)))</f>
        <v/>
      </c>
      <c r="G401" s="594" t="n"/>
      <c r="H401" s="1" t="n"/>
      <c r="I401" s="1" t="n"/>
      <c r="J401" s="1" t="n"/>
      <c r="K401" s="1" t="n"/>
    </row>
    <row r="402" ht="12.75" customHeight="1" s="588">
      <c r="A402" s="1" t="n"/>
      <c r="B402" s="1" t="n"/>
      <c r="C402" s="1" t="n"/>
      <c r="D402" s="595" t="n"/>
      <c r="E402" s="596" t="n"/>
      <c r="F402" s="595" t="n"/>
      <c r="G402" s="596" t="n"/>
      <c r="H402" s="1" t="n"/>
      <c r="I402" s="1" t="n"/>
      <c r="J402" s="1" t="n"/>
      <c r="K402" s="1" t="n"/>
    </row>
    <row r="403" ht="12.75" customHeight="1" s="588">
      <c r="A403" s="1" t="n"/>
      <c r="B403" s="1" t="n"/>
      <c r="C403" s="1" t="n"/>
      <c r="D403" s="597" t="n"/>
      <c r="E403" s="599" t="n"/>
      <c r="F403" s="597" t="n"/>
      <c r="G403" s="599" t="n"/>
      <c r="H403" s="1" t="n"/>
      <c r="I403" s="1" t="n"/>
      <c r="J403" s="1" t="n"/>
      <c r="K403" s="1" t="n"/>
    </row>
    <row r="404" ht="12.75" customHeight="1" s="588">
      <c r="A404" s="1" t="n"/>
      <c r="B404" s="1" t="n"/>
      <c r="C404" s="1" t="n"/>
      <c r="D404" s="1" t="n"/>
      <c r="E404" s="1" t="n"/>
      <c r="F404" s="1" t="n"/>
      <c r="G404" s="1" t="n"/>
      <c r="H404" s="1" t="n"/>
      <c r="I404" s="1" t="n"/>
      <c r="J404" s="1" t="n"/>
      <c r="K404" s="1" t="n"/>
    </row>
    <row r="405" ht="12.75" customHeight="1" s="588">
      <c r="A405" s="1" t="n"/>
      <c r="B405" s="1" t="n"/>
      <c r="C405" s="1" t="n"/>
      <c r="D405" s="1" t="n"/>
      <c r="E405" s="1" t="n"/>
      <c r="F405" s="1" t="n"/>
      <c r="G405" s="1" t="n"/>
      <c r="H405" s="1" t="n"/>
      <c r="I405" s="1" t="n"/>
      <c r="J405" s="1" t="n"/>
      <c r="K405" s="1" t="n"/>
    </row>
    <row r="406" ht="12.75" customHeight="1" s="588">
      <c r="A406" s="1" t="n"/>
      <c r="B406" s="1" t="n"/>
      <c r="C406" s="1" t="n"/>
      <c r="D406" s="703" t="inlineStr">
        <is>
          <t>CNAE:</t>
        </is>
      </c>
      <c r="E406" s="594" t="n"/>
      <c r="F406" s="705" t="inlineStr">
        <is>
          <t>6201, 6311 y 7410</t>
        </is>
      </c>
      <c r="G406" s="594" t="n"/>
      <c r="H406" s="1" t="n"/>
      <c r="I406" s="1" t="n"/>
      <c r="J406" s="1" t="n"/>
      <c r="K406" s="1" t="n"/>
    </row>
    <row r="407" ht="12.75" customHeight="1" s="588">
      <c r="A407" s="1" t="n"/>
      <c r="B407" s="1" t="n"/>
      <c r="C407" s="1" t="n"/>
      <c r="D407" s="595" t="n"/>
      <c r="E407" s="596" t="n"/>
      <c r="F407" s="595" t="n"/>
      <c r="G407" s="596" t="n"/>
      <c r="H407" s="1" t="n"/>
      <c r="I407" s="1" t="n"/>
      <c r="J407" s="1" t="n"/>
      <c r="K407" s="1" t="n"/>
    </row>
    <row r="408" ht="12.75" customHeight="1" s="588">
      <c r="A408" s="1" t="n"/>
      <c r="B408" s="1" t="n"/>
      <c r="C408" s="1" t="n"/>
      <c r="D408" s="597" t="n"/>
      <c r="E408" s="599" t="n"/>
      <c r="F408" s="597" t="n"/>
      <c r="G408" s="599" t="n"/>
      <c r="H408" s="1" t="n"/>
      <c r="I408" s="1" t="n"/>
      <c r="J408" s="1" t="n"/>
      <c r="K408" s="1" t="n"/>
    </row>
    <row r="409" ht="12.75" customHeight="1" s="588">
      <c r="A409" s="1" t="n"/>
      <c r="B409" s="1" t="n"/>
      <c r="C409" s="1" t="n"/>
      <c r="D409" s="1" t="n"/>
      <c r="E409" s="1" t="n"/>
      <c r="F409" s="1" t="n"/>
      <c r="G409" s="1" t="n"/>
      <c r="H409" s="1" t="n"/>
      <c r="I409" s="1" t="n"/>
      <c r="J409" s="1" t="n"/>
      <c r="K409" s="1" t="n"/>
    </row>
    <row r="410" ht="12.75" customHeight="1" s="588">
      <c r="A410" s="1" t="n"/>
      <c r="B410" s="1" t="n"/>
      <c r="C410" s="1" t="n"/>
      <c r="D410" s="1" t="n"/>
      <c r="E410" s="1" t="n"/>
      <c r="F410" s="1" t="n"/>
      <c r="G410" s="1" t="n"/>
      <c r="H410" s="1" t="n"/>
      <c r="I410" s="1" t="n"/>
      <c r="J410" s="1" t="n"/>
      <c r="K410" s="1" t="n"/>
    </row>
    <row r="411" ht="12.75" customHeight="1" s="588">
      <c r="A411" s="1" t="n"/>
      <c r="B411" s="1" t="n"/>
      <c r="C411" s="703" t="inlineStr">
        <is>
          <t>EPÍGRAFE IAE:</t>
        </is>
      </c>
      <c r="D411" s="594" t="n"/>
      <c r="E411" s="705" t="inlineStr">
        <is>
          <t>845 y 844 (Secc. 1ª)</t>
        </is>
      </c>
      <c r="F411" s="594" t="n"/>
      <c r="G411" s="706">
        <f>IF(F401=15%,"Actividades Profesionales","Actividades Empresariales")</f>
        <v/>
      </c>
      <c r="H411" s="594" t="n"/>
      <c r="I411" s="1" t="n"/>
      <c r="J411" s="1" t="n"/>
      <c r="K411" s="1" t="n"/>
    </row>
    <row r="412" ht="12.75" customHeight="1" s="588">
      <c r="A412" s="1" t="n"/>
      <c r="B412" s="1" t="n"/>
      <c r="C412" s="595" t="n"/>
      <c r="D412" s="596" t="n"/>
      <c r="E412" s="595" t="n"/>
      <c r="F412" s="596" t="n"/>
      <c r="G412" s="595" t="n"/>
      <c r="H412" s="596" t="n"/>
      <c r="I412" s="1" t="n"/>
      <c r="J412" s="1" t="n"/>
      <c r="K412" s="1" t="n"/>
    </row>
    <row r="413" ht="12.75" customHeight="1" s="588">
      <c r="A413" s="1" t="n"/>
      <c r="B413" s="1" t="n"/>
      <c r="C413" s="597" t="n"/>
      <c r="D413" s="599" t="n"/>
      <c r="E413" s="597" t="n"/>
      <c r="F413" s="599" t="n"/>
      <c r="G413" s="597" t="n"/>
      <c r="H413" s="599" t="n"/>
      <c r="I413" s="1" t="n"/>
      <c r="J413" s="1" t="n"/>
      <c r="K413" s="1" t="n"/>
    </row>
    <row r="414" ht="12.75" customHeight="1" s="588">
      <c r="A414" s="1" t="n"/>
      <c r="B414" s="1" t="n"/>
      <c r="C414" s="236" t="n"/>
      <c r="D414" s="236" t="n"/>
      <c r="E414" s="237" t="n"/>
      <c r="F414" s="237" t="n"/>
      <c r="G414" s="238" t="n"/>
      <c r="H414" s="238" t="n"/>
      <c r="I414" s="1" t="n"/>
      <c r="J414" s="1" t="n"/>
      <c r="K414" s="1" t="n"/>
      <c r="L414" s="16" t="n"/>
      <c r="M414" s="16" t="n"/>
      <c r="N414" s="16" t="n"/>
      <c r="O414" s="16" t="n"/>
      <c r="P414" s="16" t="n"/>
      <c r="Q414" s="16" t="n"/>
      <c r="R414" s="16" t="n"/>
      <c r="S414" s="16" t="n"/>
      <c r="T414" s="16" t="n"/>
      <c r="U414" s="16" t="n"/>
      <c r="V414" s="16" t="n"/>
      <c r="W414" s="16" t="n"/>
      <c r="X414" s="16" t="n"/>
      <c r="Y414" s="16" t="n"/>
      <c r="Z414" s="16" t="n"/>
    </row>
    <row r="415" hidden="1" ht="12.75" customHeight="1" s="588">
      <c r="A415" s="1" t="inlineStr">
        <is>
          <t>Sociedad (Civil, Limitada, Anónima)</t>
        </is>
      </c>
      <c r="B415" s="1" t="n"/>
      <c r="C415" s="236" t="n"/>
      <c r="D415" s="236" t="n"/>
      <c r="E415" s="237" t="n"/>
      <c r="F415" s="237" t="n"/>
      <c r="G415" s="238" t="n"/>
      <c r="H415" s="238" t="n"/>
      <c r="I415" s="1" t="n"/>
      <c r="J415" s="1" t="n"/>
      <c r="K415" s="1" t="n"/>
      <c r="L415" s="16" t="n"/>
      <c r="M415" s="16" t="n"/>
      <c r="N415" s="16" t="n"/>
      <c r="O415" s="16" t="n"/>
      <c r="P415" s="16" t="n"/>
      <c r="Q415" s="16" t="n"/>
      <c r="R415" s="16" t="n"/>
      <c r="S415" s="16" t="n"/>
      <c r="T415" s="16" t="n"/>
      <c r="U415" s="16" t="n"/>
      <c r="V415" s="16" t="n"/>
      <c r="W415" s="16" t="n"/>
      <c r="X415" s="16" t="n"/>
      <c r="Y415" s="16" t="n"/>
      <c r="Z415" s="16" t="n"/>
    </row>
    <row r="416" hidden="1" ht="12.75" customHeight="1" s="588">
      <c r="A416" s="1" t="inlineStr">
        <is>
          <t>Empresario Individual en Estimación Directa o ESPJ</t>
        </is>
      </c>
      <c r="B416" s="1" t="n"/>
      <c r="C416" s="236" t="n"/>
      <c r="D416" s="236" t="n"/>
      <c r="E416" s="237" t="n"/>
      <c r="F416" s="237" t="n"/>
      <c r="G416" s="238" t="n"/>
      <c r="H416" s="238" t="n"/>
      <c r="I416" s="1" t="n"/>
      <c r="J416" s="1" t="n"/>
      <c r="K416" s="1" t="n"/>
      <c r="L416" s="16" t="n"/>
      <c r="M416" s="16" t="n"/>
      <c r="N416" s="16" t="n"/>
      <c r="O416" s="16" t="n"/>
      <c r="P416" s="16" t="n"/>
      <c r="Q416" s="16" t="n"/>
      <c r="R416" s="16" t="n"/>
      <c r="S416" s="16" t="n"/>
      <c r="T416" s="16" t="n"/>
      <c r="U416" s="16" t="n"/>
      <c r="V416" s="16" t="n"/>
      <c r="W416" s="16" t="n"/>
      <c r="X416" s="16" t="n"/>
      <c r="Y416" s="16" t="n"/>
      <c r="Z416" s="16" t="n"/>
    </row>
    <row r="417" hidden="1" ht="12.75" customHeight="1" s="588">
      <c r="A417" s="1" t="inlineStr">
        <is>
          <t>Empresario Individual en Estimación Objetiva</t>
        </is>
      </c>
      <c r="B417" s="1" t="n"/>
      <c r="C417" s="1" t="n"/>
      <c r="D417" s="236" t="n"/>
      <c r="E417" s="237" t="n"/>
      <c r="F417" s="237" t="n"/>
      <c r="G417" s="238" t="n"/>
      <c r="H417" s="238" t="n"/>
      <c r="I417" s="1" t="n"/>
      <c r="J417" s="1" t="n"/>
      <c r="K417" s="1" t="n"/>
      <c r="L417" s="16" t="n"/>
      <c r="M417" s="16" t="n"/>
      <c r="N417" s="16" t="n"/>
      <c r="O417" s="16" t="n"/>
      <c r="P417" s="16" t="n"/>
      <c r="Q417" s="16" t="n"/>
      <c r="R417" s="16" t="n"/>
      <c r="S417" s="16" t="n"/>
      <c r="T417" s="16" t="n"/>
      <c r="U417" s="16" t="n"/>
      <c r="V417" s="16" t="n"/>
      <c r="W417" s="16" t="n"/>
      <c r="X417" s="16" t="n"/>
      <c r="Y417" s="16" t="n"/>
      <c r="Z417" s="16" t="n"/>
    </row>
    <row r="418" hidden="1" ht="12.75" customHeight="1" s="588">
      <c r="A418" s="1" t="inlineStr">
        <is>
          <t>Servicios Profesionales</t>
        </is>
      </c>
      <c r="B418" s="1" t="n"/>
      <c r="C418" s="1" t="n"/>
      <c r="D418" s="1" t="n"/>
      <c r="E418" s="1" t="n"/>
      <c r="F418" s="1" t="n"/>
      <c r="G418" s="1" t="n"/>
      <c r="H418" s="1" t="n"/>
      <c r="I418" s="1" t="n"/>
      <c r="J418" s="1" t="n"/>
      <c r="K418" s="1" t="n"/>
    </row>
    <row r="419" ht="12.75" customHeight="1" s="588">
      <c r="A419" s="1" t="n"/>
      <c r="B419" s="1" t="n"/>
      <c r="C419" s="1" t="n"/>
      <c r="D419" s="1" t="n"/>
      <c r="E419" s="1" t="n"/>
      <c r="F419" s="1" t="n"/>
      <c r="G419" s="1" t="n"/>
      <c r="H419" s="1" t="n"/>
      <c r="I419" s="1" t="n"/>
      <c r="J419" s="1" t="n"/>
      <c r="K419" s="1" t="n"/>
    </row>
    <row r="420" ht="12.75" customHeight="1" s="588">
      <c r="A420" s="1" t="n"/>
      <c r="B420" s="1" t="n"/>
      <c r="C420" s="1" t="n"/>
      <c r="D420" s="1" t="n"/>
      <c r="E420" s="1" t="n"/>
      <c r="F420" s="1" t="n"/>
      <c r="G420" s="1" t="n"/>
      <c r="H420" s="1" t="n"/>
      <c r="I420" s="1" t="n"/>
      <c r="J420" s="1" t="n"/>
      <c r="K420" s="1" t="n"/>
    </row>
    <row r="421" ht="12.75" customHeight="1" s="588">
      <c r="A421" s="1" t="n"/>
      <c r="B421" s="1" t="n"/>
      <c r="C421" s="1" t="n"/>
      <c r="D421" s="1" t="n"/>
      <c r="E421" s="1" t="n"/>
      <c r="F421" s="1" t="n"/>
      <c r="G421" s="1" t="n"/>
      <c r="H421" s="1" t="n"/>
      <c r="I421" s="1" t="n"/>
      <c r="J421" s="1" t="n"/>
      <c r="K421" s="1" t="n"/>
      <c r="L421" s="16" t="n"/>
      <c r="M421" s="16" t="n"/>
      <c r="N421" s="16" t="n"/>
      <c r="O421" s="16" t="n"/>
      <c r="P421" s="16" t="n"/>
      <c r="Q421" s="16" t="n"/>
      <c r="R421" s="16" t="n"/>
      <c r="S421" s="16" t="n"/>
      <c r="T421" s="16" t="n"/>
      <c r="U421" s="16" t="n"/>
      <c r="V421" s="16" t="n"/>
      <c r="W421" s="16" t="n"/>
      <c r="X421" s="16" t="n"/>
      <c r="Y421" s="16" t="n"/>
      <c r="Z421" s="16" t="n"/>
    </row>
    <row r="422" ht="12.75" customHeight="1" s="588">
      <c r="A422" s="1" t="n"/>
      <c r="B422" s="1" t="n"/>
      <c r="C422" s="1" t="n"/>
      <c r="D422" s="1" t="n"/>
      <c r="E422" s="1" t="n"/>
      <c r="F422" s="1" t="n"/>
      <c r="G422" s="1" t="n"/>
      <c r="H422" s="1" t="n"/>
      <c r="I422" s="1" t="n"/>
      <c r="J422" s="1" t="n"/>
      <c r="K422" s="1" t="n"/>
    </row>
    <row r="423" ht="12.75" customHeight="1" s="588">
      <c r="A423" s="1" t="n"/>
      <c r="B423" s="1" t="n"/>
      <c r="C423" s="1" t="n"/>
      <c r="D423" s="1" t="n"/>
      <c r="E423" s="1" t="n"/>
      <c r="F423" s="1" t="n"/>
      <c r="G423" s="1" t="n"/>
      <c r="H423" s="1" t="n"/>
      <c r="I423" s="1" t="n"/>
      <c r="J423" s="1" t="n"/>
      <c r="K423" s="1" t="n"/>
      <c r="L423" s="16" t="n"/>
      <c r="M423" s="16" t="n"/>
      <c r="N423" s="16" t="n"/>
      <c r="O423" s="16" t="n"/>
      <c r="P423" s="16" t="n"/>
      <c r="Q423" s="16" t="n"/>
      <c r="R423" s="16" t="n"/>
      <c r="S423" s="16" t="n"/>
      <c r="T423" s="16" t="n"/>
      <c r="U423" s="16" t="n"/>
      <c r="V423" s="16" t="n"/>
      <c r="W423" s="16" t="n"/>
      <c r="X423" s="16" t="n"/>
      <c r="Y423" s="16" t="n"/>
      <c r="Z423" s="16" t="n"/>
    </row>
    <row r="424" ht="12.75" customHeight="1" s="588">
      <c r="A424" s="1" t="n"/>
      <c r="B424" s="1" t="n"/>
      <c r="C424" s="1" t="n"/>
      <c r="D424" s="1" t="n"/>
      <c r="E424" s="1" t="n"/>
      <c r="F424" s="1" t="n"/>
      <c r="G424" s="1" t="n"/>
      <c r="H424" s="1" t="n"/>
      <c r="I424" s="1" t="n"/>
      <c r="J424" s="1" t="n"/>
      <c r="K424" s="1" t="n"/>
    </row>
    <row r="425" ht="12.75" customHeight="1" s="588">
      <c r="A425" s="1" t="n"/>
      <c r="B425" s="1" t="n"/>
      <c r="C425" s="1" t="n"/>
      <c r="D425" s="1" t="n"/>
      <c r="E425" s="1" t="n"/>
      <c r="F425" s="1" t="n"/>
      <c r="G425" s="1" t="n"/>
      <c r="H425" s="1" t="n"/>
      <c r="I425" s="1" t="n"/>
      <c r="J425" s="1" t="n"/>
      <c r="K425" s="1" t="n"/>
    </row>
    <row r="426" ht="12.75" customHeight="1" s="588">
      <c r="A426" s="8" t="inlineStr">
        <is>
          <t>¿CÓMO?</t>
        </is>
      </c>
      <c r="B426" s="1" t="n"/>
      <c r="C426" s="1" t="n"/>
      <c r="D426" s="1" t="n"/>
      <c r="E426" s="1" t="n"/>
      <c r="F426" s="1" t="n"/>
      <c r="G426" s="1" t="n"/>
      <c r="H426" s="1" t="n"/>
      <c r="I426" s="1" t="n"/>
      <c r="J426" s="1" t="n"/>
      <c r="K426" s="185">
        <f>K386</f>
        <v/>
      </c>
      <c r="L426" s="16" t="n"/>
      <c r="M426" s="16" t="n"/>
      <c r="N426" s="16" t="n"/>
      <c r="O426" s="16" t="n"/>
      <c r="P426" s="16" t="n"/>
      <c r="Q426" s="16" t="n"/>
      <c r="R426" s="16" t="n"/>
      <c r="S426" s="16" t="n"/>
      <c r="T426" s="16" t="n"/>
      <c r="U426" s="16" t="n"/>
      <c r="V426" s="16" t="n"/>
      <c r="W426" s="16" t="n"/>
      <c r="X426" s="16" t="n"/>
      <c r="Y426" s="16" t="n"/>
      <c r="Z426" s="16" t="n"/>
    </row>
    <row r="427" ht="12.75" customHeight="1" s="588">
      <c r="A427" s="1" t="n"/>
      <c r="B427" s="1" t="n"/>
      <c r="C427" s="1" t="n"/>
      <c r="D427" s="1" t="n"/>
      <c r="E427" s="1" t="n"/>
      <c r="F427" s="1" t="n"/>
      <c r="G427" s="1" t="n"/>
      <c r="H427" s="1" t="n"/>
      <c r="I427" s="1" t="n"/>
      <c r="J427" s="1" t="n"/>
      <c r="K427" s="1" t="n"/>
      <c r="L427" s="16" t="n"/>
      <c r="M427" s="16" t="n"/>
      <c r="N427" s="16" t="n"/>
      <c r="O427" s="16" t="n"/>
      <c r="P427" s="16" t="n"/>
      <c r="Q427" s="16" t="n"/>
      <c r="R427" s="16" t="n"/>
      <c r="S427" s="16" t="n"/>
      <c r="T427" s="16" t="n"/>
      <c r="U427" s="16" t="n"/>
      <c r="V427" s="16" t="n"/>
      <c r="W427" s="16" t="n"/>
      <c r="X427" s="16" t="n"/>
      <c r="Y427" s="16" t="n"/>
      <c r="Z427" s="16" t="n"/>
    </row>
    <row r="428" ht="12.75" customHeight="1" s="588">
      <c r="A428" s="1" t="n"/>
      <c r="B428" s="1" t="n"/>
      <c r="C428" s="1" t="n"/>
      <c r="D428" s="1" t="n"/>
      <c r="E428" s="1" t="n"/>
      <c r="F428" s="130" t="inlineStr">
        <is>
          <t>Acciones para la constitución del Negocio</t>
        </is>
      </c>
      <c r="G428" s="1" t="n"/>
      <c r="H428" s="1" t="n"/>
      <c r="I428" s="1" t="n"/>
      <c r="J428" s="1" t="n"/>
      <c r="K428" s="1" t="n"/>
    </row>
    <row r="429" ht="12.75" customHeight="1" s="588">
      <c r="A429" s="605" t="inlineStr">
        <is>
          <t>ACCIONES PARA LA CONSTITUCIÓN DEL NEGOCIO (Ponferrada, León - Castilla y León)
ATENCIÓN: la versión anterior de este plan contenía el régimen fiscal de CANARIAS (IGIC, modelo 400, modelo 420/425, Administración Tributaria Canaria, Régimen Especial del Pequeño Empresario). Nada de eso aplica en Ponferrada. El territorio de aplicación es el régimen común: IVA y AEAT.
FORMA JURÍDICA: SOCIEDAD LIMITADA. El plan original declaraba "empresaria individual" y al mismo tiempo listaba un segundo socio, lo cual es imposible: la empresaria individual no admite socios. Al incorporarse el Socio 2 con retribución y participación, la forma correcta es la S.L., que además limita la responsabilidad al capital aportado.
TRÁMITES, EN ORDEN:
1. CERTIFICACIÓN NEGATIVA DE DENOMINACIÓN SOCIAL en el Registro Mercantil Central.
2. APERTURA DE CUENTA BANCARIA e ingreso del capital social. Este plan prevé 10.000 EUR desembolsados (5.000 por socio). Desde la Ley 18/2022 "Crea y Crece" el mínimo legal es de 1 EUR, pero por debajo de 3.000 EUR hay que destinar el 20% del beneficio a reserva legal hasta alcanzarlos: se desembolsa por encima de ese umbral para evitar la restricción y para dotar de tesorería inicial a la sociedad.
3. ESCRITURA PÚBLICA DE CONSTITUCIÓN ante notario, con estatutos y nombramiento de administrador. Vía telemática CIRCE con estatutos tipo, los aranceles se reducen mucho (unos 60 EUR de notaría y 40 EUR de registro). Presupuestados 600 EUR para cubrir notaría, Registro Mercantil y gestoría con estatutos a medida.
4. NIF PROVISIONAL y alta censal, modelo 036, en la AEAT de Ponferrada. Se declaran los epígrafes de IAE, el régimen de IVA y el de Impuesto sobre Sociedades. Exenta del pago del IAE los dos primeros ejercicios y, después, mientras la cifra de negocios no supere 1.000.000 EUR.
5. INSCRIPCIÓN EN EL REGISTRO MERCANTIL DE LEÓN y obtención del NIF definitivo.
6. ALTA DE LOS DOS SOCIOS EN EL RETA como autónomos societarios, modelo TA.0521, dentro de los 60 días naturales anteriores al inicio efectivo de la actividad.
7. COTIZACIÓN DE LOS SOCIOS. Rige el sistema de cotización por ingresos reales. Los autónomos SOCIETARIOS tienen base mínima propia, elevada en 2026 a 1.424 EUR/mes, lo que supone unos 447 EUR/mes al tipo del 31,4% (incluye el MEI del 0,9%).
TARIFA PLANA: 80 EUR/mes durante los 12 primeros meses, a la que SÍ pueden acogerse los autónomos societarios de nueva alta que no hayan estado de alta en los 2 años anteriores (3 si ya disfrutaron de la bonificación). Prorrogable otros 12 meses solo si el rendimiento neto no supera el SMI (1.184 EUR/mes en 2026).
ESTE PLAN APLICA LA TARIFA PLANA EN EL AÑO 1 (960 EUR por socio) Y LA CUOTA REAL A PARTIR DEL AÑO 2 (unos 5.366 EUR por socio). Ese salto de casi 8.800 EUR anuales entre los dos socios es el mayor riesgo de caja del plan y está recogido en las cuentas, no escondido.
8. AYUNTAMIENTO. Declaración responsable o licencia de actividad según el espacio de trabajo. Al operar desde coworking, verificar que el titular del espacio dispone de la licencia.
9. PACTO DE SOCIOS (no obligatorio, imprescindible). Reparto de participaciones, dedicación exigible a cada socio, régimen de mayorías, política de retribución y reparto de dividendos, cláusulas de salida, arrastre y acompañamiento, y no competencia. Firmarlo ANTES de constituir.
10. PROTECCIÓN DE DATOS. Registro de actividades de tratamiento y contratos de encargado de tratamiento con cada cliente cuyos datos se traten (RGPD art. 28).
11. SUBVENCIONES A SOLICITAR (ambos socios pueden ser beneficiarios como autónomos de nueva alta):
- Ayuntamiento de Ponferrada: subvenciones 2026 para la consolidación del trabajo autónomo mediante el pago de cuotas de la Seguridad Social, con atención especial a la reincorporación de la mujer. Plazo de la convocatoria 2026: del 5 de marzo al 3 de septiembre de 2026 (BOCYL núm. 43, de 4/03/2026).
- Junta de Castilla y León: CONSOLIDACYL, misma finalidad, ámbito autonómico.
- ECYL / Cámara de Comercio de León: programas de autoempleo.
NOTA: este plan NO computa ninguna subvención en sus proyecciones. Cualquier ayuda concedida mejora el resultado; no se ha usado ninguna para sostener la viabilidad.</t>
        </is>
      </c>
      <c r="B429" s="593" t="n"/>
      <c r="C429" s="593" t="n"/>
      <c r="D429" s="593" t="n"/>
      <c r="E429" s="593" t="n"/>
      <c r="F429" s="593" t="n"/>
      <c r="G429" s="593" t="n"/>
      <c r="H429" s="593" t="n"/>
      <c r="I429" s="593" t="n"/>
      <c r="J429" s="593" t="n"/>
      <c r="K429" s="594" t="n"/>
    </row>
    <row r="430" ht="12.75" customHeight="1" s="588">
      <c r="A430" s="595" t="n"/>
      <c r="K430" s="596" t="n"/>
    </row>
    <row r="431" ht="12.75" customHeight="1" s="588">
      <c r="A431" s="595" t="n"/>
      <c r="K431" s="596" t="n"/>
    </row>
    <row r="432" ht="12.75" customHeight="1" s="588">
      <c r="A432" s="595" t="n"/>
      <c r="K432" s="596" t="n"/>
    </row>
    <row r="433" ht="12.75" customHeight="1" s="588">
      <c r="A433" s="595" t="n"/>
      <c r="K433" s="596" t="n"/>
    </row>
    <row r="434" ht="12.75" customHeight="1" s="588">
      <c r="A434" s="595" t="n"/>
      <c r="K434" s="596" t="n"/>
    </row>
    <row r="435" ht="12.75" customHeight="1" s="588">
      <c r="A435" s="595" t="n"/>
      <c r="K435" s="596" t="n"/>
    </row>
    <row r="436" ht="12.75" customHeight="1" s="588">
      <c r="A436" s="595" t="n"/>
      <c r="K436" s="596" t="n"/>
    </row>
    <row r="437" ht="12.75" customHeight="1" s="588">
      <c r="A437" s="595" t="n"/>
      <c r="K437" s="596" t="n"/>
    </row>
    <row r="438" ht="12.75" customHeight="1" s="588">
      <c r="A438" s="595" t="n"/>
      <c r="K438" s="596" t="n"/>
    </row>
    <row r="439" ht="12.75" customHeight="1" s="588">
      <c r="A439" s="595" t="n"/>
      <c r="K439" s="596" t="n"/>
    </row>
    <row r="440" ht="12.75" customHeight="1" s="588">
      <c r="A440" s="595" t="n"/>
      <c r="K440" s="596" t="n"/>
    </row>
    <row r="441" ht="12.75" customHeight="1" s="588">
      <c r="A441" s="595" t="n"/>
      <c r="K441" s="596" t="n"/>
    </row>
    <row r="442" ht="12.75" customHeight="1" s="588">
      <c r="A442" s="595" t="n"/>
      <c r="K442" s="596" t="n"/>
    </row>
    <row r="443" ht="12.75" customHeight="1" s="588">
      <c r="A443" s="595" t="n"/>
      <c r="K443" s="596" t="n"/>
    </row>
    <row r="444" ht="12.75" customHeight="1" s="588">
      <c r="A444" s="595" t="n"/>
      <c r="K444" s="596" t="n"/>
    </row>
    <row r="445" ht="12.75" customHeight="1" s="588">
      <c r="A445" s="595" t="n"/>
      <c r="K445" s="596" t="n"/>
    </row>
    <row r="446" ht="12.75" customHeight="1" s="588">
      <c r="A446" s="595" t="n"/>
      <c r="K446" s="596" t="n"/>
    </row>
    <row r="447" ht="12.75" customHeight="1" s="588">
      <c r="A447" s="595" t="n"/>
      <c r="K447" s="596" t="n"/>
    </row>
    <row r="448" ht="12.75" customHeight="1" s="588">
      <c r="A448" s="595" t="n"/>
      <c r="K448" s="596" t="n"/>
    </row>
    <row r="449" ht="12.75" customHeight="1" s="588">
      <c r="A449" s="595" t="n"/>
      <c r="K449" s="596" t="n"/>
    </row>
    <row r="450" ht="12.75" customHeight="1" s="588">
      <c r="A450" s="595" t="n"/>
      <c r="K450" s="596" t="n"/>
    </row>
    <row r="451" ht="12.75" customHeight="1" s="588">
      <c r="A451" s="595" t="n"/>
      <c r="K451" s="596" t="n"/>
    </row>
    <row r="452" ht="12.75" customHeight="1" s="588">
      <c r="A452" s="595" t="n"/>
      <c r="K452" s="596" t="n"/>
    </row>
    <row r="453" ht="12.75" customHeight="1" s="588">
      <c r="A453" s="595" t="n"/>
      <c r="K453" s="596" t="n"/>
    </row>
    <row r="454" ht="12.75" customHeight="1" s="588">
      <c r="A454" s="595" t="n"/>
      <c r="K454" s="596" t="n"/>
    </row>
    <row r="455" ht="12.75" customHeight="1" s="588">
      <c r="A455" s="595" t="n"/>
      <c r="K455" s="596" t="n"/>
    </row>
    <row r="456" ht="12.75" customHeight="1" s="588">
      <c r="A456" s="595" t="n"/>
      <c r="K456" s="596" t="n"/>
    </row>
    <row r="457" ht="12.75" customHeight="1" s="588">
      <c r="A457" s="595" t="n"/>
      <c r="K457" s="596" t="n"/>
    </row>
    <row r="458" ht="12.75" customHeight="1" s="588">
      <c r="A458" s="595" t="n"/>
      <c r="K458" s="596" t="n"/>
    </row>
    <row r="459" ht="12.75" customHeight="1" s="588">
      <c r="A459" s="597" t="n"/>
      <c r="B459" s="598" t="n"/>
      <c r="C459" s="598" t="n"/>
      <c r="D459" s="598" t="n"/>
      <c r="E459" s="598" t="n"/>
      <c r="F459" s="598" t="n"/>
      <c r="G459" s="598" t="n"/>
      <c r="H459" s="598" t="n"/>
      <c r="I459" s="598" t="n"/>
      <c r="J459" s="598" t="n"/>
      <c r="K459" s="599" t="n"/>
    </row>
    <row r="460" ht="12.75" customHeight="1" s="588">
      <c r="A460" s="1" t="n"/>
      <c r="B460" s="1" t="n"/>
      <c r="C460" s="1" t="n"/>
      <c r="D460" s="1" t="n"/>
      <c r="E460" s="1" t="n"/>
      <c r="F460" s="1" t="n"/>
      <c r="G460" s="1" t="n"/>
      <c r="H460" s="1" t="n"/>
      <c r="I460" s="1" t="n"/>
      <c r="J460" s="1" t="n"/>
      <c r="K460" s="1" t="n"/>
    </row>
    <row r="461" ht="12.75" customHeight="1" s="588">
      <c r="A461" s="8" t="inlineStr">
        <is>
          <t>¿CÓMO?</t>
        </is>
      </c>
      <c r="B461" s="1" t="n"/>
      <c r="C461" s="1" t="n"/>
      <c r="D461" s="1" t="n"/>
      <c r="E461" s="1" t="n"/>
      <c r="F461" s="1" t="n"/>
      <c r="G461" s="1" t="n"/>
      <c r="H461" s="1" t="n"/>
      <c r="I461" s="1" t="n"/>
      <c r="J461" s="1" t="n"/>
      <c r="K461" s="185">
        <f>K426</f>
        <v/>
      </c>
    </row>
    <row r="462" ht="12.75" customHeight="1" s="588">
      <c r="A462" s="1" t="n"/>
      <c r="B462" s="1" t="n"/>
      <c r="C462" s="1" t="n"/>
      <c r="D462" s="1" t="n"/>
      <c r="E462" s="1" t="n"/>
      <c r="F462" s="1" t="n"/>
      <c r="G462" s="1" t="n"/>
      <c r="H462" s="1" t="n"/>
      <c r="I462" s="1" t="n"/>
      <c r="J462" s="1" t="n"/>
      <c r="K462" s="1" t="n"/>
    </row>
    <row r="463" ht="12.75" customHeight="1" s="588">
      <c r="A463" s="1" t="n"/>
      <c r="B463" s="1" t="n"/>
      <c r="C463" s="1" t="n"/>
      <c r="D463" s="1" t="n"/>
      <c r="E463" s="1" t="n"/>
      <c r="F463" s="130" t="inlineStr">
        <is>
          <t>Obligaciones fiscales de la Actividad</t>
        </is>
      </c>
      <c r="G463" s="1" t="n"/>
      <c r="H463" s="1" t="n"/>
      <c r="I463" s="1" t="n"/>
      <c r="J463" s="1" t="n"/>
      <c r="K463" s="1" t="n"/>
    </row>
    <row r="464" ht="12.75" customHeight="1" s="588">
      <c r="A464" s="605" t="inlineStr">
        <is>
          <t>OBLIGACIONES FISCALES DE LA ACTIVIDAD (Sociedad Limitada - régimen común, AEAT)
A) DECLARACIONES TRIMESTRALES (primeros 20 días de abril, julio y octubre, y del 1 al 30 de enero para el 4T):
- MODELO 303 - IVA. Autoliquidación trimestral: IVA repercutido en ventas menos IVA soportado en compras y gastos. Tipo general del 21% en todos los servicios de diseño web y gráfico.
  [Sustituye al modelo 420 de IGIC que figuraba por error en la versión anterior.]
- MODELO 111 - Retenciones e ingresos a cuenta. La sociedad practica una retención del 15% sobre la retribución de los socios administradores y sobre las facturas de profesionales (asesoría). Es la retención que el modelo financiero ya incorpora al calcular el coste salarial de los socios.
- MODELO 202 - Pago fraccionado del Impuesto sobre Sociedades. Se presenta en abril, octubre y diciembre. NO hay obligación en el primer ejercicio (no existe cuota del ejercicio anterior sobre la que calcularlo), y a partir del segundo solo si la cuota del ejercicio anterior fue positiva.
  [El MODELO 130 de pago fraccionado del IRPF YA NO APLICA: era propio del empresario individual en estimación directa. Al ser sociedad, tributa por el Impuesto sobre Sociedades.]
- MODELO 115 - Retenciones por arrendamiento de inmuebles urbanos (19%). Solo si se alquila local con contrato propio. Operando desde coworking con factura de servicios, NO procede.
B) DECLARACIONES ANUALES:
- MODELO 200 - Impuesto sobre Sociedades. Se presenta dentro de los 25 días naturales siguientes a los 6 meses posteriores al cierre del ejercicio (hasta el 25 de julio si el ejercicio coincide con el año natural).
- MODELO 390: resumen anual del IVA.
- MODELO 190: resumen anual de retenciones del trabajo y de profesionales.
- MODELO 347: operaciones con terceros por importe superior a 3.005,06 EUR (en febrero).
- DEPÓSITO DE CUENTAS ANUALES en el Registro Mercantil de León, dentro del mes siguiente a su aprobación por la junta general (habitualmente en julio). Su incumplimiento acarrea el cierre registral y sanciones.
C) TIPO DEL IMPUESTO SOBRE SOCIEDADES. Tipo general del 25%. Las ENTIDADES DE NUEVA CREACIÓN aplican el 15% en el primer período impositivo con base imponible positiva y en el siguiente (art. 29.1 LIS). Requisitos: no formar parte de un grupo, no ser sociedad patrimonial y que la actividad no hubiera sido ejercida previamente por personas vinculadas que la transmitan, ni por un socio con participación superior al 50% durante el año anterior a la constitución. VERIFICAR ESTE ÚLTIMO PUNTO CON LA ASESORÍA antes de aplicar el tipo reducido.
D) NOTA SOBRE LA PRUDENCIA DEL MODELO: la plantilla aplica el 15% en el Año 2 y el 25% en el Año 3. Si el Año 2 es el primer ejercicio con base positiva, el tipo del 15% alcanzaría también al Año 3, con lo que el beneficio real del Año 3 sería superior al proyectado. El plan se queda deliberadamente del lado conservador.
E) FACTURA ELECTRÓNICA. La Ley 18/2022 "Crea y Crece" y el reglamento Verifactu (RD 1007/2023) obligan progresivamente a emitir factura electrónica en operaciones B2B y a usar software de facturación certificado. Es a la vez una obligación propia y una oportunidad comercial ante los clientes.
F) LO QUE YA NO APLICA al haber pasado de empresaria individual a sociedad: el modelo 130, la reducción del 20% por inicio de actividad del art. 32.3 LIRPF, los gastos de difícil justificación del 5% y la deducción de suministros de la vivienda. A cambio, la retribución de los socios SÍ es gasto deducible para la sociedad, cosa que no ocurría con la empresaria individual.</t>
        </is>
      </c>
      <c r="B464" s="593" t="n"/>
      <c r="C464" s="593" t="n"/>
      <c r="D464" s="593" t="n"/>
      <c r="E464" s="593" t="n"/>
      <c r="F464" s="593" t="n"/>
      <c r="G464" s="593" t="n"/>
      <c r="H464" s="593" t="n"/>
      <c r="I464" s="593" t="n"/>
      <c r="J464" s="593" t="n"/>
      <c r="K464" s="594" t="n"/>
    </row>
    <row r="465" ht="12.75" customHeight="1" s="588">
      <c r="A465" s="595" t="n"/>
      <c r="K465" s="596" t="n"/>
    </row>
    <row r="466" ht="12.75" customHeight="1" s="588">
      <c r="A466" s="595" t="n"/>
      <c r="K466" s="596" t="n"/>
    </row>
    <row r="467" ht="12.75" customHeight="1" s="588">
      <c r="A467" s="595" t="n"/>
      <c r="K467" s="596" t="n"/>
    </row>
    <row r="468" ht="12.75" customHeight="1" s="588">
      <c r="A468" s="595" t="n"/>
      <c r="K468" s="596" t="n"/>
    </row>
    <row r="469" ht="12.75" customHeight="1" s="588">
      <c r="A469" s="595" t="n"/>
      <c r="K469" s="596" t="n"/>
    </row>
    <row r="470" ht="12.75" customHeight="1" s="588">
      <c r="A470" s="595" t="n"/>
      <c r="K470" s="596" t="n"/>
    </row>
    <row r="471" ht="12.75" customHeight="1" s="588">
      <c r="A471" s="595" t="n"/>
      <c r="K471" s="596" t="n"/>
    </row>
    <row r="472" ht="12.75" customHeight="1" s="588">
      <c r="A472" s="595" t="n"/>
      <c r="K472" s="596" t="n"/>
    </row>
    <row r="473" ht="12.75" customHeight="1" s="588">
      <c r="A473" s="595" t="n"/>
      <c r="K473" s="596" t="n"/>
    </row>
    <row r="474" ht="12.75" customHeight="1" s="588">
      <c r="A474" s="595" t="n"/>
      <c r="K474" s="596" t="n"/>
    </row>
    <row r="475" ht="12.75" customHeight="1" s="588">
      <c r="A475" s="595" t="n"/>
      <c r="K475" s="596" t="n"/>
    </row>
    <row r="476" ht="12.75" customHeight="1" s="588">
      <c r="A476" s="595" t="n"/>
      <c r="K476" s="596" t="n"/>
    </row>
    <row r="477" ht="12.75" customHeight="1" s="588">
      <c r="A477" s="595" t="n"/>
      <c r="K477" s="596" t="n"/>
    </row>
    <row r="478" ht="12.75" customHeight="1" s="588">
      <c r="A478" s="595" t="n"/>
      <c r="K478" s="596" t="n"/>
    </row>
    <row r="479" ht="12.75" customHeight="1" s="588">
      <c r="A479" s="595" t="n"/>
      <c r="K479" s="596" t="n"/>
    </row>
    <row r="480" ht="12.75" customHeight="1" s="588">
      <c r="A480" s="595" t="n"/>
      <c r="K480" s="596" t="n"/>
    </row>
    <row r="481" ht="12.75" customHeight="1" s="588">
      <c r="A481" s="595" t="n"/>
      <c r="K481" s="596" t="n"/>
    </row>
    <row r="482" ht="12.75" customHeight="1" s="588">
      <c r="A482" s="595" t="n"/>
      <c r="K482" s="596" t="n"/>
    </row>
    <row r="483" ht="12.75" customHeight="1" s="588">
      <c r="A483" s="595" t="n"/>
      <c r="K483" s="596" t="n"/>
    </row>
    <row r="484" ht="12.75" customHeight="1" s="588">
      <c r="A484" s="595" t="n"/>
      <c r="K484" s="596" t="n"/>
    </row>
    <row r="485" ht="12.75" customHeight="1" s="588">
      <c r="A485" s="595" t="n"/>
      <c r="K485" s="596" t="n"/>
    </row>
    <row r="486" ht="12.75" customHeight="1" s="588">
      <c r="A486" s="595" t="n"/>
      <c r="K486" s="596" t="n"/>
    </row>
    <row r="487" ht="12.75" customHeight="1" s="588">
      <c r="A487" s="595" t="n"/>
      <c r="K487" s="596" t="n"/>
    </row>
    <row r="488" ht="12.75" customHeight="1" s="588">
      <c r="A488" s="595" t="n"/>
      <c r="K488" s="596" t="n"/>
    </row>
    <row r="489" ht="12.75" customHeight="1" s="588">
      <c r="A489" s="595" t="n"/>
      <c r="K489" s="596" t="n"/>
    </row>
    <row r="490" ht="12.75" customHeight="1" s="588">
      <c r="A490" s="595" t="n"/>
      <c r="K490" s="596" t="n"/>
    </row>
    <row r="491" ht="12.75" customHeight="1" s="588">
      <c r="A491" s="595" t="n"/>
      <c r="K491" s="596" t="n"/>
    </row>
    <row r="492" ht="12.75" customHeight="1" s="588">
      <c r="A492" s="595" t="n"/>
      <c r="K492" s="596" t="n"/>
    </row>
    <row r="493" ht="12.75" customHeight="1" s="588">
      <c r="A493" s="595" t="n"/>
      <c r="K493" s="596" t="n"/>
    </row>
    <row r="494" ht="12.75" customHeight="1" s="588">
      <c r="A494" s="597" t="n"/>
      <c r="B494" s="598" t="n"/>
      <c r="C494" s="598" t="n"/>
      <c r="D494" s="598" t="n"/>
      <c r="E494" s="598" t="n"/>
      <c r="F494" s="598" t="n"/>
      <c r="G494" s="598" t="n"/>
      <c r="H494" s="598" t="n"/>
      <c r="I494" s="598" t="n"/>
      <c r="J494" s="598" t="n"/>
      <c r="K494" s="599" t="n"/>
    </row>
    <row r="495" ht="12.75" customHeight="1" s="588">
      <c r="A495" s="1" t="n"/>
      <c r="B495" s="1" t="n"/>
      <c r="C495" s="1" t="n"/>
      <c r="D495" s="1" t="n"/>
      <c r="E495" s="1" t="n"/>
      <c r="F495" s="1" t="n"/>
      <c r="G495" s="1" t="n"/>
      <c r="H495" s="1" t="n"/>
      <c r="I495" s="1" t="n"/>
      <c r="J495" s="1" t="n"/>
      <c r="K495" s="1" t="n"/>
      <c r="L495" s="16" t="n"/>
      <c r="M495" s="16" t="n"/>
      <c r="N495" s="16" t="n"/>
      <c r="O495" s="16" t="n"/>
      <c r="P495" s="16" t="n"/>
      <c r="Q495" s="16" t="n"/>
      <c r="R495" s="16" t="n"/>
      <c r="S495" s="16" t="n"/>
      <c r="T495" s="16" t="n"/>
      <c r="U495" s="16" t="n"/>
      <c r="V495" s="16" t="n"/>
      <c r="W495" s="16" t="n"/>
      <c r="X495" s="16" t="n"/>
      <c r="Y495" s="16" t="n"/>
      <c r="Z495" s="16" t="n"/>
    </row>
    <row r="496" ht="12.75" customHeight="1" s="588">
      <c r="A496" s="8" t="inlineStr">
        <is>
          <t>¿CÓMO?</t>
        </is>
      </c>
      <c r="B496" s="1" t="n"/>
      <c r="C496" s="1" t="n"/>
      <c r="D496" s="1" t="n"/>
      <c r="E496" s="1" t="n"/>
      <c r="F496" s="1" t="n"/>
      <c r="G496" s="1" t="n"/>
      <c r="H496" s="1" t="n"/>
      <c r="I496" s="1" t="n"/>
      <c r="J496" s="1" t="n"/>
      <c r="K496" s="185">
        <f>K461</f>
        <v/>
      </c>
      <c r="L496" s="16" t="n"/>
      <c r="M496" s="16" t="n"/>
      <c r="N496" s="16" t="n"/>
      <c r="O496" s="16" t="n"/>
      <c r="P496" s="16" t="n"/>
      <c r="Q496" s="16" t="n"/>
      <c r="R496" s="16" t="n"/>
      <c r="S496" s="16" t="n"/>
      <c r="T496" s="16" t="n"/>
      <c r="U496" s="16" t="n"/>
      <c r="V496" s="16" t="n"/>
      <c r="W496" s="16" t="n"/>
      <c r="X496" s="16" t="n"/>
      <c r="Y496" s="16" t="n"/>
      <c r="Z496" s="16" t="n"/>
    </row>
    <row r="497" ht="12.75" customHeight="1" s="588">
      <c r="A497" s="1" t="n"/>
      <c r="B497" s="1" t="n"/>
      <c r="C497" s="1" t="n"/>
      <c r="D497" s="1" t="n"/>
      <c r="E497" s="1" t="n"/>
      <c r="F497" s="1" t="n"/>
      <c r="G497" s="1" t="n"/>
      <c r="H497" s="1" t="n"/>
      <c r="I497" s="1" t="n"/>
      <c r="J497" s="1" t="n"/>
      <c r="K497" s="1" t="n"/>
    </row>
    <row r="498" ht="12.75" customHeight="1" s="588">
      <c r="A498" s="1" t="n"/>
      <c r="B498" s="1" t="n"/>
      <c r="C498" s="1" t="n"/>
      <c r="D498" s="1" t="n"/>
      <c r="E498" s="1" t="n"/>
      <c r="F498" s="130" t="inlineStr">
        <is>
          <t>Otras Obligaciones</t>
        </is>
      </c>
      <c r="G498" s="1" t="n"/>
      <c r="H498" s="1" t="n"/>
      <c r="I498" s="1" t="n"/>
      <c r="J498" s="1" t="n"/>
      <c r="K498" s="1" t="n"/>
    </row>
    <row r="499" ht="12.75" customHeight="1" s="588">
      <c r="A499" s="592" t="inlineStr">
        <is>
          <t>OTRAS OBLIGACIONES
CONTABILIDAD MERCANTIL. A diferencia del empresario individual en estimación directa simplificada, la Sociedad Limitada está obligada a llevar CONTABILIDAD AJUSTADA AL CÓDIGO DE COMERCIO y al Plan General Contable (PYME): libro diario, libro de inventarios y cuentas anuales, libro de actas y libro registro de socios. Los libros contables y de actas se legalizan telemáticamente en el Registro Mercantil dentro de los cuatro meses siguientes al cierre del ejercicio.
CUENTAS ANUALES: balance, cuenta de pérdidas y ganancias y memoria (modelo abreviado, dado el tamaño). Formulación por el administrador en los 3 meses siguientes al cierre, aprobación por la junta general en los 6 primeros meses y depósito en el Registro Mercantil en el mes siguiente. Es el coste recurrente que justifica una asesoría de 160 EUR/mes frente a los 70 EUR/mes que bastaban para una autónoma.
JUNTA GENERAL ORDINARIA anual, con acta.
CONSERVACIÓN de libros, correspondencia y justificantes durante 6 años.
FACTURACIÓN. Numeración correlativa, identificación completa de las partes, base imponible, tipo y cuota de IVA al 21%. Software de facturación adaptado a Verifactu.
SEGURO DE RESPONSABILIDAD CIVIL PROFESIONAL. No obligatorio por ley, pero necesario: se manejan webs, datos y sistemas de terceros. La responsabilidad limitada de la S.L. protege el patrimonio de los socios frente a deudas, no frente a un error profesional reclamado por un cliente. Presupuestado en 250 EUR/año.
PROPIEDAD INTELECTUAL. Definir por contrato la cesión de derechos sobre los diseños entregados y el uso de licencias de fuentes, imágenes de stock y componentes de terceros. Cuando se use IA generativa en entregables de cliente, dejar constancia escrita y revisar siempre el resultado antes de entregar.</t>
        </is>
      </c>
      <c r="B499" s="593" t="n"/>
      <c r="C499" s="593" t="n"/>
      <c r="D499" s="593" t="n"/>
      <c r="E499" s="593" t="n"/>
      <c r="F499" s="593" t="n"/>
      <c r="G499" s="593" t="n"/>
      <c r="H499" s="593" t="n"/>
      <c r="I499" s="593" t="n"/>
      <c r="J499" s="593" t="n"/>
      <c r="K499" s="594" t="n"/>
    </row>
    <row r="500" ht="12.75" customHeight="1" s="588">
      <c r="A500" s="595" t="n"/>
      <c r="K500" s="596" t="n"/>
    </row>
    <row r="501" ht="12.75" customHeight="1" s="588">
      <c r="A501" s="595" t="n"/>
      <c r="K501" s="596" t="n"/>
    </row>
    <row r="502" ht="12.75" customHeight="1" s="588">
      <c r="A502" s="595" t="n"/>
      <c r="K502" s="596" t="n"/>
    </row>
    <row r="503" ht="12.75" customHeight="1" s="588">
      <c r="A503" s="595" t="n"/>
      <c r="K503" s="596" t="n"/>
    </row>
    <row r="504" ht="12.75" customHeight="1" s="588">
      <c r="A504" s="595" t="n"/>
      <c r="K504" s="596" t="n"/>
    </row>
    <row r="505" ht="12.75" customHeight="1" s="588">
      <c r="A505" s="595" t="n"/>
      <c r="K505" s="596" t="n"/>
    </row>
    <row r="506" ht="12.75" customHeight="1" s="588">
      <c r="A506" s="595" t="n"/>
      <c r="K506" s="596" t="n"/>
    </row>
    <row r="507" ht="12.75" customHeight="1" s="588">
      <c r="A507" s="595" t="n"/>
      <c r="K507" s="596" t="n"/>
    </row>
    <row r="508" ht="12.75" customHeight="1" s="588">
      <c r="A508" s="595" t="n"/>
      <c r="K508" s="596" t="n"/>
    </row>
    <row r="509" ht="12.75" customHeight="1" s="588">
      <c r="A509" s="595" t="n"/>
      <c r="K509" s="596" t="n"/>
    </row>
    <row r="510" ht="12.75" customHeight="1" s="588">
      <c r="A510" s="595" t="n"/>
      <c r="K510" s="596" t="n"/>
    </row>
    <row r="511" ht="12.75" customHeight="1" s="588">
      <c r="A511" s="595" t="n"/>
      <c r="K511" s="596" t="n"/>
    </row>
    <row r="512" ht="12.75" customHeight="1" s="588">
      <c r="A512" s="595" t="n"/>
      <c r="K512" s="596" t="n"/>
    </row>
    <row r="513" ht="12.75" customHeight="1" s="588">
      <c r="A513" s="595" t="n"/>
      <c r="K513" s="596" t="n"/>
    </row>
    <row r="514" ht="12.75" customHeight="1" s="588">
      <c r="A514" s="595" t="n"/>
      <c r="K514" s="596" t="n"/>
    </row>
    <row r="515" ht="12.75" customHeight="1" s="588">
      <c r="A515" s="595" t="n"/>
      <c r="K515" s="596" t="n"/>
    </row>
    <row r="516" ht="12.75" customHeight="1" s="588">
      <c r="A516" s="595" t="n"/>
      <c r="K516" s="596" t="n"/>
    </row>
    <row r="517" ht="12.75" customHeight="1" s="588">
      <c r="A517" s="595" t="n"/>
      <c r="K517" s="596" t="n"/>
    </row>
    <row r="518" ht="12.75" customHeight="1" s="588">
      <c r="A518" s="595" t="n"/>
      <c r="K518" s="596" t="n"/>
    </row>
    <row r="519" ht="12.75" customHeight="1" s="588">
      <c r="A519" s="595" t="n"/>
      <c r="K519" s="596" t="n"/>
    </row>
    <row r="520" ht="12.75" customHeight="1" s="588">
      <c r="A520" s="595" t="n"/>
      <c r="K520" s="596" t="n"/>
    </row>
    <row r="521" ht="12.75" customHeight="1" s="588">
      <c r="A521" s="595" t="n"/>
      <c r="K521" s="596" t="n"/>
    </row>
    <row r="522" ht="12.75" customHeight="1" s="588">
      <c r="A522" s="595" t="n"/>
      <c r="K522" s="596" t="n"/>
    </row>
    <row r="523" ht="12.75" customHeight="1" s="588">
      <c r="A523" s="595" t="n"/>
      <c r="K523" s="596" t="n"/>
    </row>
    <row r="524" ht="12.75" customHeight="1" s="588">
      <c r="A524" s="595" t="n"/>
      <c r="K524" s="596" t="n"/>
    </row>
    <row r="525" ht="12.75" customHeight="1" s="588">
      <c r="A525" s="595" t="n"/>
      <c r="K525" s="596" t="n"/>
    </row>
    <row r="526" ht="12.75" customHeight="1" s="588">
      <c r="A526" s="595" t="n"/>
      <c r="K526" s="596" t="n"/>
    </row>
    <row r="527" ht="12.75" customHeight="1" s="588">
      <c r="A527" s="595" t="n"/>
      <c r="K527" s="596" t="n"/>
    </row>
    <row r="528" ht="12.75" customHeight="1" s="588">
      <c r="A528" s="595" t="n"/>
      <c r="K528" s="596" t="n"/>
    </row>
    <row r="529" ht="12.75" customHeight="1" s="588">
      <c r="A529" s="597" t="n"/>
      <c r="B529" s="598" t="n"/>
      <c r="C529" s="598" t="n"/>
      <c r="D529" s="598" t="n"/>
      <c r="E529" s="598" t="n"/>
      <c r="F529" s="598" t="n"/>
      <c r="G529" s="598" t="n"/>
      <c r="H529" s="598" t="n"/>
      <c r="I529" s="598" t="n"/>
      <c r="J529" s="598" t="n"/>
      <c r="K529" s="599" t="n"/>
    </row>
    <row r="530" ht="12.75" customHeight="1" s="588">
      <c r="A530" s="82" t="n"/>
      <c r="B530" s="1" t="n"/>
      <c r="C530" s="1" t="n"/>
      <c r="D530" s="1" t="n"/>
      <c r="E530" s="1" t="n"/>
      <c r="F530" s="1" t="n"/>
      <c r="G530" s="1" t="n"/>
      <c r="H530" s="1" t="n"/>
      <c r="I530" s="1" t="n"/>
      <c r="J530" s="1" t="n"/>
      <c r="K530" s="1" t="n"/>
    </row>
    <row r="531" ht="12.75" customHeight="1" s="588">
      <c r="A531" s="8" t="inlineStr">
        <is>
          <t>¿CÓMO?</t>
        </is>
      </c>
      <c r="B531" s="1" t="n"/>
      <c r="C531" s="1" t="n"/>
      <c r="D531" s="1" t="n"/>
      <c r="E531" s="1" t="n"/>
      <c r="F531" s="1" t="n"/>
      <c r="G531" s="1" t="n"/>
      <c r="H531" s="1" t="n"/>
      <c r="I531" s="1" t="n"/>
      <c r="J531" s="1" t="n"/>
      <c r="K531" s="185">
        <f>K496</f>
        <v/>
      </c>
    </row>
    <row r="532" ht="12.75" customHeight="1" s="588">
      <c r="A532" s="1" t="n"/>
      <c r="B532" s="1" t="n"/>
      <c r="C532" s="1" t="n"/>
      <c r="D532" s="1" t="n"/>
      <c r="E532" s="1" t="n"/>
      <c r="F532" s="1" t="n"/>
      <c r="G532" s="1" t="n"/>
      <c r="H532" s="1" t="n"/>
      <c r="I532" s="1" t="n"/>
      <c r="J532" s="1" t="n"/>
      <c r="K532" s="1" t="n"/>
    </row>
    <row r="533" ht="12.75" customHeight="1" s="588">
      <c r="A533" s="1" t="n"/>
      <c r="B533" s="1" t="n"/>
      <c r="C533" s="1" t="n"/>
      <c r="D533" s="1" t="n"/>
      <c r="E533" s="1" t="n"/>
      <c r="F533" s="130" t="inlineStr">
        <is>
          <t>Ley Orgánica de Protección de Datos</t>
        </is>
      </c>
      <c r="G533" s="1" t="n"/>
      <c r="H533" s="1" t="n"/>
      <c r="I533" s="1" t="n"/>
      <c r="J533" s="1" t="n"/>
      <c r="K533" s="1" t="n"/>
    </row>
    <row r="534" ht="12.75" customHeight="1" s="588">
      <c r="A534" s="592" t="inlineStr">
        <is>
          <t>PROTECCIÓN DE DATOS (RGPD y LOPDGDD)
CORRECCIÓN IMPORTANTE: la versión anterior de este plan citaba la Ley Orgánica 15/1999, DEROGADA desde 2018. El marco vigente es el Reglamento (UE) 2016/679 (RGPD) y la Ley Orgánica 3/2018, de 5 de diciembre, de Protección de Datos Personales y garantía de los derechos digitales (LOPDGDD).
Este negocio tiene una doble condición, y confundirlas es el error más caro del sector:
1. RESPONSABLE del tratamiento de los datos de sus propios clientes, proveedores y empleados. Obligaciones: registro de actividades de tratamiento, información y base jurídica, atención de los derechos de acceso, rectificación, supresión, oposición, limitación y portabilidad, y medidas de seguridad proporcionadas.
2. ENCARGADO del tratamiento respecto de los datos que gestiona por cuenta de sus clientes (formularios de contacto, tiendas online, bases de datos de sus webs). Exige contrato de encargo de tratamiento por escrito con CADA cliente (art. 28 RGPD), control de los subencargados (hosting, herramientas de email, pasarelas de pago) y notificación de brechas de seguridad en 72 horas.
Cada web entregada debe incluir aviso legal, política de privacidad, política de cookies con consentimiento valido (nada de muros de cookies ni casillas premarcadas) y formularios con base jurídica e información en capas. Esto es también un argumento de venta: buena parte de las webs del Bierzo no lo cumplen y la AEPD sanciona.</t>
        </is>
      </c>
      <c r="B534" s="593" t="n"/>
      <c r="C534" s="593" t="n"/>
      <c r="D534" s="593" t="n"/>
      <c r="E534" s="593" t="n"/>
      <c r="F534" s="593" t="n"/>
      <c r="G534" s="593" t="n"/>
      <c r="H534" s="593" t="n"/>
      <c r="I534" s="593" t="n"/>
      <c r="J534" s="593" t="n"/>
      <c r="K534" s="594" t="n"/>
    </row>
    <row r="535" ht="12.75" customHeight="1" s="588">
      <c r="A535" s="595" t="n"/>
      <c r="K535" s="596" t="n"/>
    </row>
    <row r="536" ht="12.75" customHeight="1" s="588">
      <c r="A536" s="595" t="n"/>
      <c r="K536" s="596" t="n"/>
    </row>
    <row r="537" ht="12.75" customHeight="1" s="588">
      <c r="A537" s="595" t="n"/>
      <c r="K537" s="596" t="n"/>
    </row>
    <row r="538" ht="12.75" customHeight="1" s="588">
      <c r="A538" s="595" t="n"/>
      <c r="K538" s="596" t="n"/>
    </row>
    <row r="539" ht="12.75" customHeight="1" s="588">
      <c r="A539" s="595" t="n"/>
      <c r="K539" s="596" t="n"/>
    </row>
    <row r="540" ht="12.75" customHeight="1" s="588">
      <c r="A540" s="595" t="n"/>
      <c r="K540" s="596" t="n"/>
    </row>
    <row r="541" ht="12.75" customHeight="1" s="588">
      <c r="A541" s="595" t="n"/>
      <c r="K541" s="596" t="n"/>
    </row>
    <row r="542" ht="12.75" customHeight="1" s="588">
      <c r="A542" s="595" t="n"/>
      <c r="K542" s="596" t="n"/>
    </row>
    <row r="543" ht="12.75" customHeight="1" s="588">
      <c r="A543" s="595" t="n"/>
      <c r="K543" s="596" t="n"/>
    </row>
    <row r="544" ht="12.75" customHeight="1" s="588">
      <c r="A544" s="595" t="n"/>
      <c r="K544" s="596" t="n"/>
    </row>
    <row r="545" ht="12.75" customHeight="1" s="588">
      <c r="A545" s="595" t="n"/>
      <c r="K545" s="596" t="n"/>
    </row>
    <row r="546" ht="12.75" customHeight="1" s="588">
      <c r="A546" s="595" t="n"/>
      <c r="K546" s="596" t="n"/>
    </row>
    <row r="547" ht="12.75" customHeight="1" s="588">
      <c r="A547" s="597" t="n"/>
      <c r="B547" s="598" t="n"/>
      <c r="C547" s="598" t="n"/>
      <c r="D547" s="598" t="n"/>
      <c r="E547" s="598" t="n"/>
      <c r="F547" s="598" t="n"/>
      <c r="G547" s="598" t="n"/>
      <c r="H547" s="598" t="n"/>
      <c r="I547" s="598" t="n"/>
      <c r="J547" s="598" t="n"/>
      <c r="K547" s="599" t="n"/>
    </row>
    <row r="548" ht="12.75" customHeight="1" s="588">
      <c r="A548" s="1" t="n"/>
      <c r="B548" s="1" t="n"/>
      <c r="C548" s="1" t="n"/>
      <c r="D548" s="1" t="n"/>
      <c r="E548" s="1" t="n"/>
      <c r="F548" s="1" t="n"/>
      <c r="G548" s="1" t="n"/>
      <c r="H548" s="1" t="n"/>
      <c r="I548" s="1" t="n"/>
      <c r="J548" s="1" t="n"/>
      <c r="K548" s="1" t="n"/>
    </row>
    <row r="549" ht="12.75" customHeight="1" s="588">
      <c r="A549" s="1" t="n"/>
      <c r="B549" s="1" t="n"/>
      <c r="C549" s="1" t="n"/>
      <c r="D549" s="1" t="n"/>
      <c r="E549" s="1" t="n"/>
      <c r="F549" s="130" t="inlineStr">
        <is>
          <t>Prevención de Riesgos Laborales</t>
        </is>
      </c>
      <c r="G549" s="1" t="n"/>
      <c r="H549" s="1" t="n"/>
      <c r="I549" s="1" t="n"/>
      <c r="J549" s="1" t="n"/>
      <c r="K549" s="1" t="n"/>
    </row>
    <row r="550" ht="12.75" customHeight="1" s="588">
      <c r="A550" s="707" t="inlineStr">
        <is>
          <t>PREVENCIÓN DE RIESGOS LABORALES
En el Año 1 la sociedad NO tiene trabajadores por cuenta ajena: los dos socios son autónomos societarios. Esto cambia el alcance de la obligación respecto de la versión anterior de este plan, que presupuestaba un empleado y dejaba este apartado vacío.
SITUACIÓN EN EL AÑO 1. Los socios trabajadores por cuenta propia quedan fuera del ámbito de la Ley 31/1995 como trabajadores protegidos, pero SÍ aplica la COORDINACIÓN DE ACTIVIDADES EMPRESARIALES del artículo 24 de la LPRL y el RD 171/2004 al compartir centro de trabajo (coworking): hay que intercambiar información de riesgos con el titular del espacio y con las demás empresas que lo ocupan.
DESDE LA PRIMERA CONTRATACIÓN (prevista para el Año 2), la Ley 31/1995 pasa a ser de aplicación plena: evaluación de riesgos del puesto, plan de prevención, formación e información al trabajador, vigilancia de la salud ofrecida y equipos adecuados. Debe concertarse un Servicio de Prevención Ajeno. Está previsto dentro de la partida de asesoría.
RIESGOS DEL PUESTO (aplicables ya a los socios por prudencia y buena práctica): trabajo con pantalla de visualización de datos, con riesgo de trastornos musculoesqueléticos, fatiga visual y riesgos psicosociales por carga de trabajo. Medidas: silla ergonómica regulable, monitor a altura de los ojos, iluminación adecuada, pausas visuales periódicas y cumplimiento del RD 488/1997 sobre trabajo con equipos con pantalla y del RD 486/1997 sobre lugares de trabajo.</t>
        </is>
      </c>
      <c r="B550" s="593" t="n"/>
      <c r="C550" s="593" t="n"/>
      <c r="D550" s="593" t="n"/>
      <c r="E550" s="593" t="n"/>
      <c r="F550" s="593" t="n"/>
      <c r="G550" s="593" t="n"/>
      <c r="H550" s="593" t="n"/>
      <c r="I550" s="593" t="n"/>
      <c r="J550" s="593" t="n"/>
      <c r="K550" s="594" t="n"/>
    </row>
    <row r="551" ht="12.75" customHeight="1" s="588">
      <c r="A551" s="595" t="n"/>
      <c r="K551" s="596" t="n"/>
    </row>
    <row r="552" ht="12.75" customHeight="1" s="588">
      <c r="A552" s="595" t="n"/>
      <c r="K552" s="596" t="n"/>
    </row>
    <row r="553" ht="12.75" customHeight="1" s="588">
      <c r="A553" s="595" t="n"/>
      <c r="K553" s="596" t="n"/>
    </row>
    <row r="554" ht="12.75" customHeight="1" s="588">
      <c r="A554" s="595" t="n"/>
      <c r="K554" s="596" t="n"/>
    </row>
    <row r="555" ht="12.75" customHeight="1" s="588">
      <c r="A555" s="595" t="n"/>
      <c r="K555" s="596" t="n"/>
    </row>
    <row r="556" ht="12.75" customHeight="1" s="588">
      <c r="A556" s="595" t="n"/>
      <c r="K556" s="596" t="n"/>
    </row>
    <row r="557" ht="12.75" customHeight="1" s="588">
      <c r="A557" s="595" t="n"/>
      <c r="K557" s="596" t="n"/>
    </row>
    <row r="558" ht="12.75" customHeight="1" s="588">
      <c r="A558" s="595" t="n"/>
      <c r="K558" s="596" t="n"/>
    </row>
    <row r="559" ht="12.75" customHeight="1" s="588">
      <c r="A559" s="595" t="n"/>
      <c r="K559" s="596" t="n"/>
    </row>
    <row r="560" ht="12.75" customHeight="1" s="588">
      <c r="A560" s="595" t="n"/>
      <c r="K560" s="596" t="n"/>
    </row>
    <row r="561" ht="12.75" customHeight="1" s="588">
      <c r="A561" s="595" t="n"/>
      <c r="K561" s="596" t="n"/>
    </row>
    <row r="562" ht="12.75" customHeight="1" s="588">
      <c r="A562" s="595" t="n"/>
      <c r="K562" s="596" t="n"/>
    </row>
    <row r="563" ht="12.75" customHeight="1" s="588">
      <c r="A563" s="597" t="n"/>
      <c r="B563" s="598" t="n"/>
      <c r="C563" s="598" t="n"/>
      <c r="D563" s="598" t="n"/>
      <c r="E563" s="598" t="n"/>
      <c r="F563" s="598" t="n"/>
      <c r="G563" s="598" t="n"/>
      <c r="H563" s="598" t="n"/>
      <c r="I563" s="598" t="n"/>
      <c r="J563" s="598" t="n"/>
      <c r="K563" s="599" t="n"/>
    </row>
    <row r="564" ht="12.75" customHeight="1" s="588">
      <c r="A564" s="1" t="n"/>
      <c r="B564" s="1" t="n"/>
      <c r="C564" s="1" t="n"/>
      <c r="D564" s="1" t="n"/>
      <c r="E564" s="1" t="n"/>
      <c r="F564" s="1" t="n"/>
      <c r="G564" s="1" t="n"/>
      <c r="H564" s="1" t="n"/>
      <c r="I564" s="1" t="n"/>
      <c r="J564" s="1" t="n"/>
      <c r="K564" s="1" t="n"/>
    </row>
    <row r="565" ht="12.75" customHeight="1" s="588">
      <c r="A565" s="8" t="inlineStr">
        <is>
          <t>¿CÓMO?</t>
        </is>
      </c>
      <c r="B565" s="1" t="n"/>
      <c r="C565" s="1" t="n"/>
      <c r="D565" s="1" t="n"/>
      <c r="E565" s="1" t="n"/>
      <c r="F565" s="1" t="n"/>
      <c r="G565" s="1" t="n"/>
      <c r="H565" s="1" t="n"/>
      <c r="I565" s="1" t="n"/>
      <c r="J565" s="1" t="n"/>
      <c r="K565" s="185">
        <f>K531</f>
        <v/>
      </c>
    </row>
    <row r="566" ht="12.75" customHeight="1" s="588">
      <c r="A566" s="1" t="n"/>
      <c r="B566" s="1" t="n"/>
      <c r="C566" s="1" t="n"/>
      <c r="D566" s="1" t="n"/>
      <c r="E566" s="1" t="n"/>
      <c r="F566" s="1" t="n"/>
      <c r="G566" s="1" t="n"/>
      <c r="H566" s="1" t="n"/>
      <c r="I566" s="1" t="n"/>
      <c r="J566" s="1" t="n"/>
      <c r="K566" s="1" t="n"/>
    </row>
    <row r="567" ht="12.75" customHeight="1" s="588">
      <c r="A567" s="1" t="n"/>
      <c r="B567" s="1" t="n"/>
      <c r="C567" s="1" t="n"/>
      <c r="D567" s="1" t="n"/>
      <c r="E567" s="1" t="n"/>
      <c r="F567" s="130" t="inlineStr">
        <is>
          <t>Legislación específica aplicable a la actividad</t>
        </is>
      </c>
      <c r="G567" s="1" t="n"/>
      <c r="H567" s="1" t="n"/>
      <c r="I567" s="1" t="n"/>
      <c r="J567" s="1" t="n"/>
      <c r="K567" s="1" t="n"/>
    </row>
    <row r="568" ht="12.75" customHeight="1" s="588">
      <c r="A568" s="592" t="inlineStr">
        <is>
          <t>LEGISLACIÓN ESPECÍFICA APLICABLE A LA ACTIVIDAD
- Ley 34/2002 (LSSI-CE), de servicios de la sociedad de la información y de comercio electrónico: aviso legal, información obligatoria del prestador, comunicaciones comerciales y contratación electrónica. Aplica a la web propia y a todas las que se entreguen.
- Reglamento (UE) 2016/679 (RGPD) y LO 3/2018 (LOPDGDD).
- RDL 1/2007, Texto Refundido de la Ley General para la Defensa de Consumidores y Usuarios: obligatorio en toda tienda online que se entregue (desistimiento de 14 días, información precontractual, garantías).
- Ley 18/2022 "Crea y Crece" y RD 1007/2023 (Verifactu): factura electrónica B2B y sistemas de facturación verificables.
- RDL 1/1996, Ley de Propiedad Intelectual: cesión de derechos sobre diseños, licencias de fuentes tipográficas, imágenes y componentes de terceros.
- Ley 31/1995 de Prevención de Riesgos Laborales (desde el primer trabajador).
- Reglamento Europeo de Inteligencia Artificial (2024): obligaciones de transparencia cuando se emplee IA generativa en entregables de cliente.
- Ley 3/2004 de lucha contra la morosidad: plazo máximo de pago de 60 días en operaciones comerciales. Base legal para reclamar intereses de demora.
NO APLICA: normativa fiscal canaria (IGIC, modelos 400/420/425, Administración Tributaria Canaria), que figuraba por error en la versión anterior de este plan.</t>
        </is>
      </c>
      <c r="B568" s="593" t="n"/>
      <c r="C568" s="593" t="n"/>
      <c r="D568" s="593" t="n"/>
      <c r="E568" s="593" t="n"/>
      <c r="F568" s="593" t="n"/>
      <c r="G568" s="593" t="n"/>
      <c r="H568" s="593" t="n"/>
      <c r="I568" s="593" t="n"/>
      <c r="J568" s="593" t="n"/>
      <c r="K568" s="594" t="n"/>
    </row>
    <row r="569" ht="12.75" customHeight="1" s="588">
      <c r="A569" s="595" t="n"/>
      <c r="K569" s="596" t="n"/>
    </row>
    <row r="570" ht="12.75" customHeight="1" s="588">
      <c r="A570" s="595" t="n"/>
      <c r="K570" s="596" t="n"/>
    </row>
    <row r="571" ht="12.75" customHeight="1" s="588">
      <c r="A571" s="595" t="n"/>
      <c r="K571" s="596" t="n"/>
    </row>
    <row r="572" ht="12.75" customHeight="1" s="588">
      <c r="A572" s="595" t="n"/>
      <c r="K572" s="596" t="n"/>
    </row>
    <row r="573" ht="12.75" customHeight="1" s="588">
      <c r="A573" s="595" t="n"/>
      <c r="K573" s="596" t="n"/>
    </row>
    <row r="574" ht="12.75" customHeight="1" s="588">
      <c r="A574" s="595" t="n"/>
      <c r="K574" s="596" t="n"/>
    </row>
    <row r="575" ht="12.75" customHeight="1" s="588">
      <c r="A575" s="595" t="n"/>
      <c r="K575" s="596" t="n"/>
    </row>
    <row r="576" ht="12.75" customHeight="1" s="588">
      <c r="A576" s="595" t="n"/>
      <c r="K576" s="596" t="n"/>
    </row>
    <row r="577" ht="12.75" customHeight="1" s="588">
      <c r="A577" s="595" t="n"/>
      <c r="K577" s="596" t="n"/>
    </row>
    <row r="578" ht="12.75" customHeight="1" s="588">
      <c r="A578" s="595" t="n"/>
      <c r="K578" s="596" t="n"/>
    </row>
    <row r="579" ht="12.75" customHeight="1" s="588">
      <c r="A579" s="595" t="n"/>
      <c r="K579" s="596" t="n"/>
    </row>
    <row r="580" ht="12.75" customHeight="1" s="588">
      <c r="A580" s="595" t="n"/>
      <c r="K580" s="596" t="n"/>
    </row>
    <row r="581" ht="12.75" customHeight="1" s="588">
      <c r="A581" s="597" t="n"/>
      <c r="B581" s="598" t="n"/>
      <c r="C581" s="598" t="n"/>
      <c r="D581" s="598" t="n"/>
      <c r="E581" s="598" t="n"/>
      <c r="F581" s="598" t="n"/>
      <c r="G581" s="598" t="n"/>
      <c r="H581" s="598" t="n"/>
      <c r="I581" s="598" t="n"/>
      <c r="J581" s="598" t="n"/>
      <c r="K581" s="599" t="n"/>
    </row>
    <row r="582" ht="12.75" customHeight="1" s="588">
      <c r="A582" s="1" t="n"/>
      <c r="B582" s="1" t="n"/>
      <c r="C582" s="1" t="n"/>
      <c r="D582" s="1" t="n"/>
      <c r="E582" s="1" t="n"/>
      <c r="F582" s="1" t="n"/>
      <c r="G582" s="1" t="n"/>
      <c r="H582" s="1" t="n"/>
      <c r="I582" s="1" t="n"/>
      <c r="J582" s="1" t="n"/>
      <c r="K582" s="1" t="n"/>
    </row>
    <row r="583" ht="12.75" customHeight="1" s="588">
      <c r="A583" s="1" t="n"/>
      <c r="B583" s="1" t="n"/>
      <c r="C583" s="1" t="n"/>
      <c r="D583" s="1" t="n"/>
      <c r="E583" s="1" t="n"/>
      <c r="F583" s="130" t="inlineStr">
        <is>
          <t>Otras Recomendaciones Jurídico-Fiscales</t>
        </is>
      </c>
      <c r="G583" s="1" t="n"/>
      <c r="H583" s="1" t="n"/>
      <c r="I583" s="1" t="n"/>
      <c r="J583" s="1" t="n"/>
      <c r="K583" s="1" t="n"/>
    </row>
    <row r="584" ht="12.75" customHeight="1" s="588">
      <c r="A584" s="592" t="inlineStr">
        <is>
          <t>OTRAS RECOMENDACIONES JURÍDICO-FISCALES
1. PACTO DE SOCIOS ANTES DE CONSTITUIR. Es la recomendación más importante de todo este plan. Debe fijar: reparto de participaciones, dedicación mínima exigible a cada socio, régimen de mayorías para decidir, política de retribución y de reparto de dividendos, qué ocurre si un socio quiere salir o deja de dedicarse, cláusulas de arrastre y acompañamiento, y no competencia. Dos socios al 50% sin pacto es la receta clásica del bloqueo societario.
2. DEFINIR POR ESCRITO EL REPARTO DE FUNCIONES: producción y dirección técnica frente a dirección comercial. Sobre el papel es obvio; en la práctica es donde aparecen los conflictos cuando uno de los dos siente que aporta más.
3. CONTRATO ESCRITO EN TODO PROYECTO, con alcance cerrado, número de rondas de cambios incluidas (dos), plazos, hitos de pago y consecuencias del retraso en la entrega de contenidos por parte del cliente. La causa número uno de pérdida de margen en este sector no es el precio: es el alcance que crece sin contrapartida.
4. CONDICIONES DE COBRO: 50% de anticipo al firmar y 50% antes de entregar accesos y publicar. Las cuotas de mantenimiento y SEO, domiciliadas. Nunca ceder credenciales de administración antes del cobro final.
5. TITULARIDAD DE DOMINIOS Y HOSTING a nombre del cliente, con acceso delegado. Retener dominios como garantía de cobro genera conflictos y mala reputación en un mercado local pequeño.
6. REVISAR EL EPÍGRAFE DE IAE CON LA ASESORÍA ANTES DEL 036. La versión anterior indicaba "P763", propio de la Sección 2ª (actividades profesionales), que solo pueden ejercer personas físicas. Al ser sociedad, el alta debe hacerse necesariamente en la Sección 1ª (actividades empresariales). Confirmar los epígrafes concretos.
7. RETRIBUCIÓN DEL ADMINISTRADOR. Para que sea gasto deducible en el Impuesto sobre Sociedades, el cargo debe constar como RETRIBUIDO EN LOS ESTATUTOS y el sistema de retribución debe estar determinado. Es un error muy frecuente y muy caro: Hacienda rechaza la deducción si los estatutos dicen que el cargo es gratuito.
8. OPERACIONES VINCULADAS. Las relaciones económicas entre la sociedad y sus socios (retribuciones, préstamos, cesión de bienes) deben valorarse a precio de mercado y documentarse. Con dos socios que además trabajan en la sociedad, es una revisión habitual de la Inspección.
9. CONSERVAR JUSTIFICANTES de todo gasto de la sociedad. A diferencia de la empresaria individual, aquí no cabe deducir suministros de la vivienda particular.</t>
        </is>
      </c>
      <c r="B584" s="593" t="n"/>
      <c r="C584" s="593" t="n"/>
      <c r="D584" s="593" t="n"/>
      <c r="E584" s="593" t="n"/>
      <c r="F584" s="593" t="n"/>
      <c r="G584" s="593" t="n"/>
      <c r="H584" s="593" t="n"/>
      <c r="I584" s="593" t="n"/>
      <c r="J584" s="593" t="n"/>
      <c r="K584" s="594" t="n"/>
    </row>
    <row r="585" ht="12.75" customHeight="1" s="588">
      <c r="A585" s="595" t="n"/>
      <c r="K585" s="596" t="n"/>
    </row>
    <row r="586" ht="12.75" customHeight="1" s="588">
      <c r="A586" s="595" t="n"/>
      <c r="K586" s="596" t="n"/>
    </row>
    <row r="587" ht="12.75" customHeight="1" s="588">
      <c r="A587" s="595" t="n"/>
      <c r="K587" s="596" t="n"/>
    </row>
    <row r="588" ht="12.75" customHeight="1" s="588">
      <c r="A588" s="595" t="n"/>
      <c r="K588" s="596" t="n"/>
    </row>
    <row r="589" ht="12.75" customHeight="1" s="588">
      <c r="A589" s="595" t="n"/>
      <c r="K589" s="596" t="n"/>
    </row>
    <row r="590" ht="12.75" customHeight="1" s="588">
      <c r="A590" s="595" t="n"/>
      <c r="K590" s="596" t="n"/>
    </row>
    <row r="591" ht="12.75" customHeight="1" s="588">
      <c r="A591" s="595" t="n"/>
      <c r="K591" s="596" t="n"/>
    </row>
    <row r="592" ht="12.75" customHeight="1" s="588">
      <c r="A592" s="595" t="n"/>
      <c r="K592" s="596" t="n"/>
    </row>
    <row r="593" ht="12.75" customHeight="1" s="588">
      <c r="A593" s="595" t="n"/>
      <c r="K593" s="596" t="n"/>
    </row>
    <row r="594" ht="12.75" customHeight="1" s="588">
      <c r="A594" s="595" t="n"/>
      <c r="K594" s="596" t="n"/>
    </row>
    <row r="595" ht="12.75" customHeight="1" s="588">
      <c r="A595" s="595" t="n"/>
      <c r="K595" s="596" t="n"/>
    </row>
    <row r="596" ht="12.75" customHeight="1" s="588">
      <c r="A596" s="595" t="n"/>
      <c r="K596" s="596" t="n"/>
    </row>
    <row r="597" ht="12.75" customHeight="1" s="588">
      <c r="A597" s="597" t="n"/>
      <c r="B597" s="598" t="n"/>
      <c r="C597" s="598" t="n"/>
      <c r="D597" s="598" t="n"/>
      <c r="E597" s="598" t="n"/>
      <c r="F597" s="598" t="n"/>
      <c r="G597" s="598" t="n"/>
      <c r="H597" s="598" t="n"/>
      <c r="I597" s="598" t="n"/>
      <c r="J597" s="598" t="n"/>
      <c r="K597" s="599" t="n"/>
    </row>
    <row r="598" ht="12.75" customHeight="1" s="588">
      <c r="A598" s="240" t="n"/>
      <c r="B598" s="240" t="n"/>
      <c r="C598" s="240" t="n"/>
      <c r="D598" s="240" t="n"/>
      <c r="E598" s="240" t="n"/>
      <c r="F598" s="240" t="n"/>
      <c r="G598" s="240" t="n"/>
      <c r="H598" s="240" t="n"/>
      <c r="I598" s="240" t="n"/>
      <c r="J598" s="240" t="n"/>
      <c r="K598" s="240" t="n"/>
      <c r="L598" s="16" t="n"/>
      <c r="M598" s="16" t="n"/>
      <c r="N598" s="16" t="n"/>
      <c r="O598" s="16" t="n"/>
      <c r="P598" s="16" t="n"/>
      <c r="Q598" s="16" t="n"/>
      <c r="R598" s="16" t="n"/>
      <c r="S598" s="16" t="n"/>
      <c r="T598" s="16" t="n"/>
      <c r="U598" s="16" t="n"/>
      <c r="V598" s="16" t="n"/>
      <c r="W598" s="16" t="n"/>
      <c r="X598" s="16" t="n"/>
      <c r="Y598" s="16" t="n"/>
      <c r="Z598" s="16" t="n"/>
    </row>
    <row r="599" ht="12.75" customHeight="1" s="588">
      <c r="A599" s="8" t="inlineStr">
        <is>
          <t>¿CÓMO?</t>
        </is>
      </c>
      <c r="B599" s="1" t="n"/>
      <c r="C599" s="1" t="n"/>
      <c r="D599" s="1" t="n"/>
      <c r="E599" s="1" t="n"/>
      <c r="F599" s="1" t="n"/>
      <c r="G599" s="1" t="n"/>
      <c r="H599" s="1" t="n"/>
      <c r="I599" s="1" t="n"/>
      <c r="J599" s="1" t="n"/>
      <c r="K599" s="185">
        <f>K565</f>
        <v/>
      </c>
      <c r="L599" s="16" t="n"/>
      <c r="M599" s="16" t="n"/>
      <c r="N599" s="16" t="n"/>
      <c r="O599" s="16" t="n"/>
      <c r="P599" s="16" t="n"/>
      <c r="Q599" s="16" t="n"/>
      <c r="R599" s="16" t="n"/>
      <c r="S599" s="16" t="n"/>
      <c r="T599" s="16" t="n"/>
      <c r="U599" s="16" t="n"/>
      <c r="V599" s="16" t="n"/>
      <c r="W599" s="16" t="n"/>
      <c r="X599" s="16" t="n"/>
      <c r="Y599" s="16" t="n"/>
      <c r="Z599" s="16" t="n"/>
    </row>
    <row r="600" ht="12.75" customHeight="1" s="588">
      <c r="A600" s="1" t="n"/>
      <c r="B600" s="241" t="n"/>
      <c r="C600" s="241" t="n"/>
      <c r="D600" s="241" t="n"/>
      <c r="E600" s="241" t="n"/>
      <c r="F600" s="241" t="n"/>
      <c r="G600" s="241" t="n"/>
      <c r="H600" s="241" t="n"/>
      <c r="I600" s="241" t="n"/>
      <c r="J600" s="241" t="n"/>
      <c r="K600" s="241" t="n"/>
      <c r="L600" s="16" t="n"/>
      <c r="M600" s="16" t="n"/>
      <c r="N600" s="16" t="n"/>
      <c r="O600" s="16" t="n"/>
      <c r="P600" s="16" t="n"/>
      <c r="Q600" s="16" t="n"/>
      <c r="R600" s="16" t="n"/>
      <c r="S600" s="16" t="n"/>
      <c r="T600" s="16" t="n"/>
      <c r="U600" s="16" t="n"/>
      <c r="V600" s="16" t="n"/>
      <c r="W600" s="16" t="n"/>
      <c r="X600" s="16" t="n"/>
      <c r="Y600" s="16" t="n"/>
      <c r="Z600" s="16" t="n"/>
    </row>
    <row r="601" ht="12.75" customHeight="1" s="588">
      <c r="A601" s="1" t="n"/>
      <c r="B601" s="1" t="n"/>
      <c r="C601" s="1" t="n"/>
      <c r="D601" s="1" t="n"/>
      <c r="E601" s="1" t="n"/>
      <c r="F601" s="130" t="inlineStr">
        <is>
          <t>Recursos Humanos</t>
        </is>
      </c>
      <c r="G601" s="1" t="n"/>
      <c r="H601" s="1" t="n"/>
      <c r="I601" s="1" t="n"/>
      <c r="J601" s="1" t="n"/>
      <c r="K601" s="1" t="n"/>
      <c r="L601" s="16" t="n"/>
      <c r="M601" s="16" t="n"/>
      <c r="N601" s="16" t="n"/>
      <c r="O601" s="16" t="n"/>
      <c r="P601" s="16" t="n"/>
      <c r="Q601" s="16" t="n"/>
      <c r="R601" s="16" t="n"/>
      <c r="S601" s="16" t="n"/>
      <c r="T601" s="16" t="n"/>
      <c r="U601" s="16" t="n"/>
      <c r="V601" s="16" t="n"/>
      <c r="W601" s="16" t="n"/>
      <c r="X601" s="16" t="n"/>
      <c r="Y601" s="16" t="n"/>
      <c r="Z601" s="16" t="n"/>
    </row>
    <row r="602" ht="12.75" customHeight="1" s="588">
      <c r="A602" s="242" t="n"/>
      <c r="B602" s="241" t="n"/>
      <c r="C602" s="241" t="n"/>
      <c r="D602" s="241" t="n"/>
      <c r="E602" s="241" t="n"/>
      <c r="F602" s="241" t="n"/>
      <c r="G602" s="241" t="n"/>
      <c r="H602" s="241" t="n"/>
      <c r="I602" s="241" t="n"/>
      <c r="J602" s="241" t="n"/>
      <c r="K602" s="241" t="n"/>
      <c r="L602" s="16" t="n"/>
      <c r="M602" s="16" t="n"/>
      <c r="N602" s="16" t="n"/>
      <c r="O602" s="16" t="n"/>
      <c r="P602" s="16" t="n"/>
      <c r="Q602" s="16" t="n"/>
      <c r="R602" s="16" t="n"/>
      <c r="S602" s="16" t="n"/>
      <c r="T602" s="16" t="n"/>
      <c r="U602" s="16" t="n"/>
      <c r="V602" s="16" t="n"/>
      <c r="W602" s="16" t="n"/>
      <c r="X602" s="16" t="n"/>
      <c r="Y602" s="16" t="n"/>
      <c r="Z602" s="16" t="n"/>
    </row>
    <row r="603" ht="13.5" customHeight="1" s="588">
      <c r="A603" s="242" t="n"/>
      <c r="B603" s="241" t="n"/>
      <c r="C603" s="241" t="n"/>
      <c r="D603" s="241" t="n"/>
      <c r="E603" s="708" t="inlineStr">
        <is>
          <t>Salario Bruto devengado en AÑO 1</t>
        </is>
      </c>
      <c r="F603" s="708" t="inlineStr">
        <is>
          <t>Salario Bruto devengado en AÑO 2</t>
        </is>
      </c>
      <c r="G603" s="708" t="inlineStr">
        <is>
          <t>Salario Bruto devengado en AÑO 3</t>
        </is>
      </c>
      <c r="H603" s="241" t="n"/>
      <c r="I603" s="241" t="n"/>
      <c r="J603" s="241" t="n"/>
      <c r="K603" s="241" t="n"/>
      <c r="L603" s="16" t="n"/>
      <c r="M603" s="16" t="n"/>
      <c r="N603" s="16" t="n"/>
      <c r="O603" s="16" t="n"/>
      <c r="P603" s="16" t="n"/>
      <c r="Q603" s="16" t="n"/>
      <c r="R603" s="16" t="n"/>
      <c r="S603" s="16" t="n"/>
      <c r="T603" s="16" t="n"/>
      <c r="U603" s="16" t="n"/>
      <c r="V603" s="16" t="n"/>
      <c r="W603" s="16" t="n"/>
      <c r="X603" s="16" t="n"/>
      <c r="Y603" s="16" t="n"/>
      <c r="Z603" s="16" t="n"/>
    </row>
    <row r="604" ht="12.75" customHeight="1" s="588">
      <c r="A604" s="242" t="n"/>
      <c r="B604" s="241" t="n"/>
      <c r="C604" s="241" t="n"/>
      <c r="D604" s="241" t="n"/>
      <c r="H604" s="241" t="n"/>
      <c r="I604" s="241" t="n"/>
      <c r="J604" s="241" t="n"/>
      <c r="K604" s="241" t="n"/>
      <c r="L604" s="16" t="n"/>
      <c r="M604" s="16" t="n"/>
      <c r="N604" s="16" t="n"/>
      <c r="O604" s="16" t="n"/>
      <c r="P604" s="16" t="n"/>
      <c r="Q604" s="16" t="n"/>
      <c r="R604" s="16" t="n"/>
      <c r="S604" s="16" t="n"/>
      <c r="T604" s="16" t="n"/>
      <c r="U604" s="16" t="n"/>
      <c r="V604" s="16" t="n"/>
      <c r="W604" s="16" t="n"/>
      <c r="X604" s="16" t="n"/>
      <c r="Y604" s="16" t="n"/>
      <c r="Z604" s="16" t="n"/>
    </row>
    <row r="605" ht="12.75" customHeight="1" s="588">
      <c r="A605" s="1" t="n"/>
      <c r="B605" s="241" t="n"/>
      <c r="C605" s="178" t="inlineStr">
        <is>
          <t>Función</t>
        </is>
      </c>
      <c r="D605" s="241" t="n"/>
      <c r="E605" s="598" t="n"/>
      <c r="F605" s="598" t="n"/>
      <c r="G605" s="598" t="n"/>
      <c r="H605" s="709" t="inlineStr">
        <is>
          <t>Tipo de Contrato</t>
        </is>
      </c>
      <c r="I605" s="598" t="n"/>
      <c r="J605" s="598" t="n"/>
      <c r="K605" s="241" t="n"/>
      <c r="L605" s="16" t="n"/>
      <c r="M605" s="16" t="n"/>
      <c r="N605" s="16" t="n"/>
      <c r="O605" s="16" t="n"/>
      <c r="P605" s="16" t="n"/>
      <c r="Q605" s="16" t="n"/>
      <c r="R605" s="16" t="n"/>
      <c r="S605" s="16" t="n"/>
      <c r="T605" s="16" t="n"/>
      <c r="U605" s="16" t="n"/>
      <c r="V605" s="16" t="n"/>
      <c r="W605" s="16" t="n"/>
      <c r="X605" s="16" t="n"/>
      <c r="Y605" s="16" t="n"/>
      <c r="Z605" s="16" t="n"/>
    </row>
    <row r="606" ht="12.75" customHeight="1" s="588">
      <c r="A606" s="242" t="inlineStr">
        <is>
          <t>Empleado 1</t>
        </is>
      </c>
      <c r="B606" s="693" t="n"/>
      <c r="C606" s="593" t="n"/>
      <c r="D606" s="594" t="n"/>
      <c r="E606" s="710" t="n"/>
      <c r="F606" s="710">
        <f>E606*(100%+'CUÁNTO Y CUÁNDO'!$H$25)</f>
        <v/>
      </c>
      <c r="G606" s="710">
        <f>F606*(100%+'CUÁNTO Y CUÁNDO'!$H$25)</f>
        <v/>
      </c>
      <c r="H606" s="711" t="n"/>
      <c r="I606" s="593" t="n"/>
      <c r="J606" s="594" t="n"/>
      <c r="K606" s="241" t="n"/>
      <c r="L606" s="16" t="n"/>
      <c r="M606" s="16" t="n"/>
      <c r="N606" s="16" t="n"/>
      <c r="O606" s="16" t="n"/>
      <c r="P606" s="16" t="n"/>
      <c r="Q606" s="16" t="n"/>
      <c r="R606" s="16" t="n"/>
      <c r="S606" s="16" t="n"/>
      <c r="T606" s="16" t="n"/>
      <c r="U606" s="16" t="n"/>
      <c r="V606" s="16" t="n"/>
      <c r="W606" s="16" t="n"/>
      <c r="X606" s="16" t="n"/>
      <c r="Y606" s="16" t="n"/>
      <c r="Z606" s="16" t="n"/>
    </row>
    <row r="607" ht="12.75" customHeight="1" s="588">
      <c r="B607" s="597" t="n"/>
      <c r="C607" s="598" t="n"/>
      <c r="D607" s="599" t="n"/>
      <c r="E607" s="712" t="n"/>
      <c r="F607" s="712" t="n"/>
      <c r="G607" s="712" t="n"/>
      <c r="H607" s="597" t="n"/>
      <c r="I607" s="598" t="n"/>
      <c r="J607" s="599" t="n"/>
      <c r="K607" s="241" t="n"/>
      <c r="L607" s="16" t="n"/>
      <c r="M607" s="16" t="n"/>
      <c r="N607" s="16" t="n"/>
      <c r="O607" s="16" t="n"/>
      <c r="P607" s="16" t="n"/>
      <c r="Q607" s="16" t="n"/>
      <c r="R607" s="16" t="n"/>
      <c r="S607" s="16" t="n"/>
      <c r="T607" s="16" t="n"/>
      <c r="U607" s="16" t="n"/>
      <c r="V607" s="16" t="n"/>
      <c r="W607" s="16" t="n"/>
      <c r="X607" s="16" t="n"/>
      <c r="Y607" s="16" t="n"/>
      <c r="Z607" s="16" t="n"/>
    </row>
    <row r="608" ht="12.75" customHeight="1" s="588">
      <c r="A608" s="242" t="n"/>
      <c r="B608" s="241" t="n"/>
      <c r="C608" s="241" t="n"/>
      <c r="D608" s="241" t="n"/>
      <c r="E608" s="241" t="n"/>
      <c r="F608" s="241" t="n"/>
      <c r="G608" s="241" t="n"/>
      <c r="H608" s="241" t="n"/>
      <c r="I608" s="241" t="n"/>
      <c r="J608" s="241" t="n"/>
      <c r="K608" s="241" t="n"/>
      <c r="L608" s="16" t="n"/>
      <c r="M608" s="16" t="n"/>
      <c r="N608" s="16" t="n"/>
      <c r="O608" s="16" t="n"/>
      <c r="P608" s="16" t="n"/>
      <c r="Q608" s="16" t="n"/>
      <c r="R608" s="16" t="n"/>
      <c r="S608" s="16" t="n"/>
      <c r="T608" s="16" t="n"/>
      <c r="U608" s="16" t="n"/>
      <c r="V608" s="16" t="n"/>
      <c r="W608" s="16" t="n"/>
      <c r="X608" s="16" t="n"/>
      <c r="Y608" s="16" t="n"/>
      <c r="Z608" s="16" t="n"/>
    </row>
    <row r="609" ht="12.75" customHeight="1" s="588">
      <c r="A609" s="242" t="inlineStr">
        <is>
          <t>Empleado 2</t>
        </is>
      </c>
      <c r="B609" s="693" t="n"/>
      <c r="C609" s="593" t="n"/>
      <c r="D609" s="594" t="n"/>
      <c r="E609" s="710" t="n"/>
      <c r="F609" s="710">
        <f>E609*(100%+'CUÁNTO Y CUÁNDO'!$H$25)</f>
        <v/>
      </c>
      <c r="G609" s="710">
        <f>F609*(100%+'CUÁNTO Y CUÁNDO'!$H$25)</f>
        <v/>
      </c>
      <c r="H609" s="711" t="n"/>
      <c r="I609" s="593" t="n"/>
      <c r="J609" s="594" t="n"/>
      <c r="K609" s="241" t="n"/>
      <c r="L609" s="16" t="n"/>
      <c r="M609" s="16" t="n"/>
      <c r="N609" s="16" t="n"/>
      <c r="O609" s="16" t="n"/>
      <c r="P609" s="16" t="n"/>
      <c r="Q609" s="16" t="n"/>
      <c r="R609" s="16" t="n"/>
      <c r="S609" s="16" t="n"/>
      <c r="T609" s="16" t="n"/>
      <c r="U609" s="16" t="n"/>
      <c r="V609" s="16" t="n"/>
      <c r="W609" s="16" t="n"/>
      <c r="X609" s="16" t="n"/>
      <c r="Y609" s="16" t="n"/>
      <c r="Z609" s="16" t="n"/>
    </row>
    <row r="610" ht="12.75" customHeight="1" s="588">
      <c r="B610" s="597" t="n"/>
      <c r="C610" s="598" t="n"/>
      <c r="D610" s="599" t="n"/>
      <c r="E610" s="712" t="n"/>
      <c r="F610" s="712" t="n"/>
      <c r="G610" s="712" t="n"/>
      <c r="H610" s="597" t="n"/>
      <c r="I610" s="598" t="n"/>
      <c r="J610" s="599" t="n"/>
      <c r="K610" s="241" t="n"/>
      <c r="L610" s="16" t="n"/>
      <c r="M610" s="16" t="n"/>
      <c r="N610" s="16" t="n"/>
      <c r="O610" s="16" t="n"/>
      <c r="P610" s="16" t="n"/>
      <c r="Q610" s="16" t="n"/>
      <c r="R610" s="16" t="n"/>
      <c r="S610" s="16" t="n"/>
      <c r="T610" s="16" t="n"/>
      <c r="U610" s="16" t="n"/>
      <c r="V610" s="16" t="n"/>
      <c r="W610" s="16" t="n"/>
      <c r="X610" s="16" t="n"/>
      <c r="Y610" s="16" t="n"/>
      <c r="Z610" s="16" t="n"/>
    </row>
    <row r="611" ht="12.75" customHeight="1" s="588">
      <c r="A611" s="242" t="n"/>
      <c r="B611" s="241" t="n"/>
      <c r="C611" s="241" t="n"/>
      <c r="D611" s="241" t="n"/>
      <c r="E611" s="241" t="n"/>
      <c r="F611" s="241" t="n"/>
      <c r="G611" s="241" t="n"/>
      <c r="H611" s="241" t="n"/>
      <c r="I611" s="241" t="n"/>
      <c r="J611" s="241" t="n"/>
      <c r="K611" s="241" t="n"/>
      <c r="L611" s="16" t="n"/>
      <c r="M611" s="16" t="n"/>
      <c r="N611" s="16" t="n"/>
      <c r="O611" s="16" t="n"/>
      <c r="P611" s="16" t="n"/>
      <c r="Q611" s="16" t="n"/>
      <c r="R611" s="16" t="n"/>
      <c r="S611" s="16" t="n"/>
      <c r="T611" s="16" t="n"/>
      <c r="U611" s="16" t="n"/>
      <c r="V611" s="16" t="n"/>
      <c r="W611" s="16" t="n"/>
      <c r="X611" s="16" t="n"/>
      <c r="Y611" s="16" t="n"/>
      <c r="Z611" s="16" t="n"/>
    </row>
    <row r="612" ht="12.75" customHeight="1" s="588">
      <c r="A612" s="242" t="inlineStr">
        <is>
          <t>Empleado 3</t>
        </is>
      </c>
      <c r="B612" s="693" t="n"/>
      <c r="C612" s="593" t="n"/>
      <c r="D612" s="594" t="n"/>
      <c r="E612" s="710" t="n"/>
      <c r="F612" s="710">
        <f>E612*(100%+'CUÁNTO Y CUÁNDO'!$H$25)</f>
        <v/>
      </c>
      <c r="G612" s="710">
        <f>F612*(100%+'CUÁNTO Y CUÁNDO'!$H$25)</f>
        <v/>
      </c>
      <c r="H612" s="711" t="n"/>
      <c r="I612" s="593" t="n"/>
      <c r="J612" s="594" t="n"/>
      <c r="K612" s="241" t="n"/>
      <c r="L612" s="16" t="n"/>
      <c r="M612" s="16" t="n"/>
      <c r="N612" s="16" t="n"/>
      <c r="O612" s="16" t="n"/>
      <c r="P612" s="16" t="n"/>
      <c r="Q612" s="16" t="n"/>
      <c r="R612" s="16" t="n"/>
      <c r="S612" s="16" t="n"/>
      <c r="T612" s="16" t="n"/>
      <c r="U612" s="16" t="n"/>
      <c r="V612" s="16" t="n"/>
      <c r="W612" s="16" t="n"/>
      <c r="X612" s="16" t="n"/>
      <c r="Y612" s="16" t="n"/>
      <c r="Z612" s="16" t="n"/>
    </row>
    <row r="613" ht="12.75" customHeight="1" s="588">
      <c r="B613" s="597" t="n"/>
      <c r="C613" s="598" t="n"/>
      <c r="D613" s="599" t="n"/>
      <c r="E613" s="712" t="n"/>
      <c r="F613" s="712" t="n"/>
      <c r="G613" s="712" t="n"/>
      <c r="H613" s="597" t="n"/>
      <c r="I613" s="598" t="n"/>
      <c r="J613" s="599" t="n"/>
      <c r="K613" s="241" t="n"/>
      <c r="L613" s="16" t="n"/>
      <c r="M613" s="16" t="n"/>
      <c r="N613" s="16" t="n"/>
      <c r="O613" s="16" t="n"/>
      <c r="P613" s="16" t="n"/>
      <c r="Q613" s="16" t="n"/>
      <c r="R613" s="16" t="n"/>
      <c r="S613" s="16" t="n"/>
      <c r="T613" s="16" t="n"/>
      <c r="U613" s="16" t="n"/>
      <c r="V613" s="16" t="n"/>
      <c r="W613" s="16" t="n"/>
      <c r="X613" s="16" t="n"/>
      <c r="Y613" s="16" t="n"/>
      <c r="Z613" s="16" t="n"/>
    </row>
    <row r="614" ht="12.75" customHeight="1" s="588">
      <c r="A614" s="242" t="n"/>
      <c r="B614" s="241" t="n"/>
      <c r="C614" s="241" t="n"/>
      <c r="D614" s="241" t="n"/>
      <c r="E614" s="241" t="n"/>
      <c r="F614" s="241" t="n"/>
      <c r="G614" s="241" t="n"/>
      <c r="H614" s="241" t="n"/>
      <c r="I614" s="241" t="n"/>
      <c r="J614" s="241" t="n"/>
      <c r="K614" s="241" t="n"/>
      <c r="L614" s="16" t="n"/>
      <c r="M614" s="16" t="n"/>
      <c r="N614" s="16" t="n"/>
      <c r="O614" s="16" t="n"/>
      <c r="P614" s="16" t="n"/>
      <c r="Q614" s="16" t="n"/>
      <c r="R614" s="16" t="n"/>
      <c r="S614" s="16" t="n"/>
      <c r="T614" s="16" t="n"/>
      <c r="U614" s="16" t="n"/>
      <c r="V614" s="16" t="n"/>
      <c r="W614" s="16" t="n"/>
      <c r="X614" s="16" t="n"/>
      <c r="Y614" s="16" t="n"/>
      <c r="Z614" s="16" t="n"/>
    </row>
    <row r="615" ht="12.75" customHeight="1" s="588">
      <c r="A615" s="242" t="inlineStr">
        <is>
          <t>Empleado 4</t>
        </is>
      </c>
      <c r="B615" s="693" t="n"/>
      <c r="C615" s="593" t="n"/>
      <c r="D615" s="594" t="n"/>
      <c r="E615" s="710" t="n"/>
      <c r="F615" s="710">
        <f>E615*(100%+'CUÁNTO Y CUÁNDO'!$H$25)</f>
        <v/>
      </c>
      <c r="G615" s="710">
        <f>F615*(100%+'CUÁNTO Y CUÁNDO'!$H$25)</f>
        <v/>
      </c>
      <c r="H615" s="711" t="n"/>
      <c r="I615" s="593" t="n"/>
      <c r="J615" s="594" t="n"/>
      <c r="K615" s="241" t="n"/>
      <c r="L615" s="16" t="n"/>
      <c r="M615" s="16" t="n"/>
      <c r="N615" s="16" t="n"/>
      <c r="O615" s="16" t="n"/>
      <c r="P615" s="16" t="n"/>
      <c r="Q615" s="16" t="n"/>
      <c r="R615" s="16" t="n"/>
      <c r="S615" s="16" t="n"/>
      <c r="T615" s="16" t="n"/>
      <c r="U615" s="16" t="n"/>
      <c r="V615" s="16" t="n"/>
      <c r="W615" s="16" t="n"/>
      <c r="X615" s="16" t="n"/>
      <c r="Y615" s="16" t="n"/>
      <c r="Z615" s="16" t="n"/>
    </row>
    <row r="616" ht="12.75" customHeight="1" s="588">
      <c r="B616" s="597" t="n"/>
      <c r="C616" s="598" t="n"/>
      <c r="D616" s="599" t="n"/>
      <c r="E616" s="712" t="n"/>
      <c r="F616" s="712" t="n"/>
      <c r="G616" s="712" t="n"/>
      <c r="H616" s="597" t="n"/>
      <c r="I616" s="598" t="n"/>
      <c r="J616" s="599" t="n"/>
      <c r="K616" s="241" t="n"/>
      <c r="L616" s="16" t="n"/>
      <c r="M616" s="16" t="n"/>
      <c r="N616" s="16" t="n"/>
      <c r="O616" s="16" t="n"/>
      <c r="P616" s="16" t="n"/>
      <c r="Q616" s="16" t="n"/>
      <c r="R616" s="16" t="n"/>
      <c r="S616" s="16" t="n"/>
      <c r="T616" s="16" t="n"/>
      <c r="U616" s="16" t="n"/>
      <c r="V616" s="16" t="n"/>
      <c r="W616" s="16" t="n"/>
      <c r="X616" s="16" t="n"/>
      <c r="Y616" s="16" t="n"/>
      <c r="Z616" s="16" t="n"/>
    </row>
    <row r="617" ht="12.75" customHeight="1" s="588">
      <c r="A617" s="242" t="n"/>
      <c r="B617" s="241" t="n"/>
      <c r="C617" s="241" t="n"/>
      <c r="D617" s="241" t="n"/>
      <c r="E617" s="241" t="n"/>
      <c r="F617" s="241" t="n"/>
      <c r="G617" s="241" t="n"/>
      <c r="H617" s="241" t="n"/>
      <c r="I617" s="241" t="n"/>
      <c r="J617" s="241" t="n"/>
      <c r="K617" s="241" t="n"/>
      <c r="L617" s="16" t="n"/>
      <c r="M617" s="16" t="n"/>
      <c r="N617" s="16" t="n"/>
      <c r="O617" s="16" t="n"/>
      <c r="P617" s="16" t="n"/>
      <c r="Q617" s="16" t="n"/>
      <c r="R617" s="16" t="n"/>
      <c r="S617" s="16" t="n"/>
      <c r="T617" s="16" t="n"/>
      <c r="U617" s="16" t="n"/>
      <c r="V617" s="16" t="n"/>
      <c r="W617" s="16" t="n"/>
      <c r="X617" s="16" t="n"/>
      <c r="Y617" s="16" t="n"/>
      <c r="Z617" s="16" t="n"/>
    </row>
    <row r="618" ht="13.5" customHeight="1" s="588">
      <c r="A618" s="242" t="inlineStr">
        <is>
          <t>Empleado 5</t>
        </is>
      </c>
      <c r="B618" s="693" t="n"/>
      <c r="C618" s="593" t="n"/>
      <c r="D618" s="594" t="n"/>
      <c r="E618" s="710" t="n"/>
      <c r="F618" s="710">
        <f>E618*(100%+'CUÁNTO Y CUÁNDO'!$H$25)</f>
        <v/>
      </c>
      <c r="G618" s="710">
        <f>F618*(100%+'CUÁNTO Y CUÁNDO'!$H$25)</f>
        <v/>
      </c>
      <c r="H618" s="711" t="n"/>
      <c r="I618" s="593" t="n"/>
      <c r="J618" s="594" t="n"/>
      <c r="K618" s="241" t="n"/>
      <c r="L618" s="16" t="n"/>
      <c r="M618" s="16" t="n"/>
      <c r="N618" s="16" t="n"/>
      <c r="O618" s="16" t="n"/>
      <c r="P618" s="16" t="n"/>
      <c r="Q618" s="16" t="n"/>
      <c r="R618" s="16" t="n"/>
      <c r="S618" s="16" t="n"/>
      <c r="T618" s="16" t="n"/>
      <c r="U618" s="16" t="n"/>
      <c r="V618" s="16" t="n"/>
      <c r="W618" s="16" t="n"/>
      <c r="X618" s="16" t="n"/>
      <c r="Y618" s="16" t="n"/>
      <c r="Z618" s="16" t="n"/>
    </row>
    <row r="619" ht="13.5" customHeight="1" s="588">
      <c r="B619" s="597" t="n"/>
      <c r="C619" s="598" t="n"/>
      <c r="D619" s="599" t="n"/>
      <c r="E619" s="712" t="n"/>
      <c r="F619" s="712" t="n"/>
      <c r="G619" s="712" t="n"/>
      <c r="H619" s="597" t="n"/>
      <c r="I619" s="598" t="n"/>
      <c r="J619" s="599" t="n"/>
      <c r="K619" s="241" t="n"/>
      <c r="L619" s="16" t="n"/>
      <c r="M619" s="16" t="n"/>
      <c r="N619" s="16" t="n"/>
      <c r="O619" s="16" t="n"/>
      <c r="P619" s="16" t="n"/>
      <c r="Q619" s="16" t="n"/>
      <c r="R619" s="16" t="n"/>
      <c r="S619" s="16" t="n"/>
      <c r="T619" s="16" t="n"/>
      <c r="U619" s="16" t="n"/>
      <c r="V619" s="16" t="n"/>
      <c r="W619" s="16" t="n"/>
      <c r="X619" s="16" t="n"/>
      <c r="Y619" s="16" t="n"/>
      <c r="Z619" s="16" t="n"/>
    </row>
    <row r="620" ht="12.75" customHeight="1" s="588">
      <c r="A620" s="242" t="n"/>
      <c r="B620" s="241" t="n"/>
      <c r="C620" s="241" t="n"/>
      <c r="D620" s="241" t="n"/>
      <c r="E620" s="241" t="n"/>
      <c r="F620" s="241" t="n"/>
      <c r="G620" s="241" t="n"/>
      <c r="H620" s="241" t="n"/>
      <c r="I620" s="241" t="n"/>
      <c r="J620" s="241" t="n"/>
      <c r="K620" s="241" t="n"/>
      <c r="L620" s="16" t="n"/>
      <c r="M620" s="16" t="n"/>
      <c r="N620" s="16" t="n"/>
      <c r="O620" s="16" t="n"/>
      <c r="P620" s="16" t="n"/>
      <c r="Q620" s="16" t="n"/>
      <c r="R620" s="16" t="n"/>
      <c r="S620" s="16" t="n"/>
      <c r="T620" s="16" t="n"/>
      <c r="U620" s="16" t="n"/>
      <c r="V620" s="16" t="n"/>
      <c r="W620" s="16" t="n"/>
      <c r="X620" s="16" t="n"/>
      <c r="Y620" s="16" t="n"/>
      <c r="Z620" s="16" t="n"/>
    </row>
    <row r="621" ht="13.5" customHeight="1" s="588">
      <c r="A621" s="242" t="inlineStr">
        <is>
          <t>Empleado 6</t>
        </is>
      </c>
      <c r="B621" s="693" t="n"/>
      <c r="C621" s="593" t="n"/>
      <c r="D621" s="594" t="n"/>
      <c r="E621" s="710" t="n"/>
      <c r="F621" s="710">
        <f>E621*(100%+'CUÁNTO Y CUÁNDO'!$H$25)</f>
        <v/>
      </c>
      <c r="G621" s="710">
        <f>F621*(100%+'CUÁNTO Y CUÁNDO'!$H$25)</f>
        <v/>
      </c>
      <c r="H621" s="711" t="n"/>
      <c r="I621" s="593" t="n"/>
      <c r="J621" s="594" t="n"/>
      <c r="K621" s="241" t="n"/>
      <c r="L621" s="16" t="n"/>
      <c r="M621" s="16" t="n"/>
      <c r="N621" s="16" t="n"/>
      <c r="O621" s="16" t="n"/>
      <c r="P621" s="16" t="n"/>
      <c r="Q621" s="16" t="n"/>
      <c r="R621" s="16" t="n"/>
      <c r="S621" s="16" t="n"/>
      <c r="T621" s="16" t="n"/>
      <c r="U621" s="16" t="n"/>
      <c r="V621" s="16" t="n"/>
      <c r="W621" s="16" t="n"/>
      <c r="X621" s="16" t="n"/>
      <c r="Y621" s="16" t="n"/>
      <c r="Z621" s="16" t="n"/>
    </row>
    <row r="622" ht="13.5" customHeight="1" s="588">
      <c r="B622" s="597" t="n"/>
      <c r="C622" s="598" t="n"/>
      <c r="D622" s="599" t="n"/>
      <c r="E622" s="712" t="n"/>
      <c r="F622" s="712" t="n"/>
      <c r="G622" s="712" t="n"/>
      <c r="H622" s="597" t="n"/>
      <c r="I622" s="598" t="n"/>
      <c r="J622" s="599" t="n"/>
      <c r="K622" s="241" t="n"/>
      <c r="L622" s="16" t="n"/>
      <c r="M622" s="16" t="n"/>
      <c r="N622" s="16" t="n"/>
      <c r="O622" s="16" t="n"/>
      <c r="P622" s="16" t="n"/>
      <c r="Q622" s="16" t="n"/>
      <c r="R622" s="16" t="n"/>
      <c r="S622" s="16" t="n"/>
      <c r="T622" s="16" t="n"/>
      <c r="U622" s="16" t="n"/>
      <c r="V622" s="16" t="n"/>
      <c r="W622" s="16" t="n"/>
      <c r="X622" s="16" t="n"/>
      <c r="Y622" s="16" t="n"/>
      <c r="Z622" s="16" t="n"/>
    </row>
    <row r="623" ht="12.75" customHeight="1" s="588">
      <c r="A623" s="242" t="n"/>
      <c r="B623" s="241" t="n"/>
      <c r="C623" s="241" t="n"/>
      <c r="D623" s="241" t="n"/>
      <c r="E623" s="241" t="n"/>
      <c r="F623" s="241" t="n"/>
      <c r="G623" s="241" t="n"/>
      <c r="H623" s="241" t="n"/>
      <c r="I623" s="241" t="n"/>
      <c r="J623" s="241" t="n"/>
      <c r="K623" s="241" t="n"/>
      <c r="L623" s="16" t="n"/>
      <c r="M623" s="16" t="n"/>
      <c r="N623" s="16" t="n"/>
      <c r="O623" s="16" t="n"/>
      <c r="P623" s="16" t="n"/>
      <c r="Q623" s="16" t="n"/>
      <c r="R623" s="16" t="n"/>
      <c r="S623" s="16" t="n"/>
      <c r="T623" s="16" t="n"/>
      <c r="U623" s="16" t="n"/>
      <c r="V623" s="16" t="n"/>
      <c r="W623" s="16" t="n"/>
      <c r="X623" s="16" t="n"/>
      <c r="Y623" s="16" t="n"/>
      <c r="Z623" s="16" t="n"/>
    </row>
    <row r="624" ht="13.5" customHeight="1" s="588">
      <c r="A624" s="242" t="inlineStr">
        <is>
          <t>Empleado 7</t>
        </is>
      </c>
      <c r="B624" s="693" t="n"/>
      <c r="C624" s="593" t="n"/>
      <c r="D624" s="594" t="n"/>
      <c r="E624" s="710" t="n"/>
      <c r="F624" s="710">
        <f>E624*(100%+'CUÁNTO Y CUÁNDO'!$H$25)</f>
        <v/>
      </c>
      <c r="G624" s="710">
        <f>F624*(100%+'CUÁNTO Y CUÁNDO'!$H$25)</f>
        <v/>
      </c>
      <c r="H624" s="711" t="n"/>
      <c r="I624" s="593" t="n"/>
      <c r="J624" s="594" t="n"/>
      <c r="K624" s="241" t="n"/>
      <c r="L624" s="16" t="n"/>
      <c r="M624" s="16" t="n"/>
      <c r="N624" s="16" t="n"/>
      <c r="O624" s="16" t="n"/>
      <c r="P624" s="16" t="n"/>
      <c r="Q624" s="16" t="n"/>
      <c r="R624" s="16" t="n"/>
      <c r="S624" s="16" t="n"/>
      <c r="T624" s="16" t="n"/>
      <c r="U624" s="16" t="n"/>
      <c r="V624" s="16" t="n"/>
      <c r="W624" s="16" t="n"/>
      <c r="X624" s="16" t="n"/>
      <c r="Y624" s="16" t="n"/>
      <c r="Z624" s="16" t="n"/>
    </row>
    <row r="625" ht="13.5" customHeight="1" s="588">
      <c r="B625" s="597" t="n"/>
      <c r="C625" s="598" t="n"/>
      <c r="D625" s="599" t="n"/>
      <c r="E625" s="712" t="n"/>
      <c r="F625" s="712" t="n"/>
      <c r="G625" s="712" t="n"/>
      <c r="H625" s="597" t="n"/>
      <c r="I625" s="598" t="n"/>
      <c r="J625" s="599" t="n"/>
      <c r="K625" s="241" t="n"/>
      <c r="L625" s="16" t="n"/>
      <c r="M625" s="16" t="n"/>
      <c r="N625" s="16" t="n"/>
      <c r="O625" s="16" t="n"/>
      <c r="P625" s="16" t="n"/>
      <c r="Q625" s="16" t="n"/>
      <c r="R625" s="16" t="n"/>
      <c r="S625" s="16" t="n"/>
      <c r="T625" s="16" t="n"/>
      <c r="U625" s="16" t="n"/>
      <c r="V625" s="16" t="n"/>
      <c r="W625" s="16" t="n"/>
      <c r="X625" s="16" t="n"/>
      <c r="Y625" s="16" t="n"/>
      <c r="Z625" s="16" t="n"/>
    </row>
    <row r="626" ht="12.75" customHeight="1" s="588">
      <c r="A626" s="242" t="n"/>
      <c r="B626" s="241" t="n"/>
      <c r="C626" s="241" t="n"/>
      <c r="D626" s="241" t="n"/>
      <c r="E626" s="241" t="n"/>
      <c r="F626" s="241" t="n"/>
      <c r="G626" s="241" t="n"/>
      <c r="H626" s="241" t="n"/>
      <c r="I626" s="241" t="n"/>
      <c r="J626" s="241" t="n"/>
      <c r="K626" s="241" t="n"/>
      <c r="L626" s="16" t="n"/>
      <c r="M626" s="16" t="n"/>
      <c r="N626" s="16" t="n"/>
      <c r="O626" s="16" t="n"/>
      <c r="P626" s="16" t="n"/>
      <c r="Q626" s="16" t="n"/>
      <c r="R626" s="16" t="n"/>
      <c r="S626" s="16" t="n"/>
      <c r="T626" s="16" t="n"/>
      <c r="U626" s="16" t="n"/>
      <c r="V626" s="16" t="n"/>
      <c r="W626" s="16" t="n"/>
      <c r="X626" s="16" t="n"/>
      <c r="Y626" s="16" t="n"/>
      <c r="Z626" s="16" t="n"/>
    </row>
    <row r="627" ht="13.5" customHeight="1" s="588">
      <c r="A627" s="242" t="inlineStr">
        <is>
          <t>Empleado 8</t>
        </is>
      </c>
      <c r="B627" s="693" t="n"/>
      <c r="C627" s="593" t="n"/>
      <c r="D627" s="594" t="n"/>
      <c r="E627" s="710" t="n"/>
      <c r="F627" s="710">
        <f>E627*(100%+'CUÁNTO Y CUÁNDO'!$H$25)</f>
        <v/>
      </c>
      <c r="G627" s="710">
        <f>F627*(100%+'CUÁNTO Y CUÁNDO'!$H$25)</f>
        <v/>
      </c>
      <c r="H627" s="711" t="n"/>
      <c r="I627" s="593" t="n"/>
      <c r="J627" s="594" t="n"/>
      <c r="K627" s="241" t="n"/>
      <c r="L627" s="16" t="n"/>
      <c r="M627" s="16" t="n"/>
      <c r="N627" s="16" t="n"/>
      <c r="O627" s="16" t="n"/>
      <c r="P627" s="16" t="n"/>
      <c r="Q627" s="16" t="n"/>
      <c r="R627" s="16" t="n"/>
      <c r="S627" s="16" t="n"/>
      <c r="T627" s="16" t="n"/>
      <c r="U627" s="16" t="n"/>
      <c r="V627" s="16" t="n"/>
      <c r="W627" s="16" t="n"/>
      <c r="X627" s="16" t="n"/>
      <c r="Y627" s="16" t="n"/>
      <c r="Z627" s="16" t="n"/>
    </row>
    <row r="628" ht="13.5" customHeight="1" s="588">
      <c r="B628" s="597" t="n"/>
      <c r="C628" s="598" t="n"/>
      <c r="D628" s="599" t="n"/>
      <c r="E628" s="712" t="n"/>
      <c r="F628" s="712" t="n"/>
      <c r="G628" s="712" t="n"/>
      <c r="H628" s="597" t="n"/>
      <c r="I628" s="598" t="n"/>
      <c r="J628" s="599" t="n"/>
      <c r="K628" s="241" t="n"/>
      <c r="L628" s="16" t="n"/>
      <c r="M628" s="16" t="n"/>
      <c r="N628" s="16" t="n"/>
      <c r="O628" s="16" t="n"/>
      <c r="P628" s="16" t="n"/>
      <c r="Q628" s="16" t="n"/>
      <c r="R628" s="16" t="n"/>
      <c r="S628" s="16" t="n"/>
      <c r="T628" s="16" t="n"/>
      <c r="U628" s="16" t="n"/>
      <c r="V628" s="16" t="n"/>
      <c r="W628" s="16" t="n"/>
      <c r="X628" s="16" t="n"/>
      <c r="Y628" s="16" t="n"/>
      <c r="Z628" s="16" t="n"/>
    </row>
    <row r="629" hidden="1" ht="12.75" customHeight="1" s="588">
      <c r="A629" s="1" t="n"/>
      <c r="B629" s="1" t="n"/>
      <c r="C629" s="1" t="n"/>
      <c r="D629" s="1" t="n"/>
      <c r="E629" s="1" t="n"/>
      <c r="F629" s="1" t="n"/>
      <c r="G629" s="1" t="n"/>
      <c r="H629" s="1" t="n"/>
      <c r="I629" s="1" t="n"/>
      <c r="J629" s="1" t="n"/>
      <c r="K629" s="241" t="n"/>
      <c r="L629" s="16" t="n"/>
      <c r="M629" s="16" t="n"/>
      <c r="N629" s="16" t="n"/>
      <c r="O629" s="16" t="n"/>
      <c r="P629" s="16" t="n"/>
      <c r="Q629" s="16" t="n"/>
      <c r="R629" s="16" t="n"/>
      <c r="S629" s="16" t="n"/>
      <c r="T629" s="16" t="n"/>
      <c r="U629" s="16" t="n"/>
      <c r="V629" s="16" t="n"/>
      <c r="W629" s="16" t="n"/>
      <c r="X629" s="16" t="n"/>
      <c r="Y629" s="16" t="n"/>
      <c r="Z629" s="16" t="n"/>
    </row>
    <row r="630" hidden="1" ht="12.75" customHeight="1" s="588">
      <c r="A630" s="1" t="inlineStr">
        <is>
          <t>Contrato Indefinido</t>
        </is>
      </c>
      <c r="B630" s="1" t="n"/>
      <c r="C630" s="1" t="n"/>
      <c r="D630" s="1" t="n"/>
      <c r="E630" s="1" t="n"/>
      <c r="F630" s="1" t="n"/>
      <c r="G630" s="1" t="n"/>
      <c r="H630" s="1" t="n"/>
      <c r="I630" s="1" t="n"/>
      <c r="J630" s="1" t="n"/>
      <c r="K630" s="241" t="n"/>
      <c r="L630" s="16" t="n"/>
      <c r="M630" s="16" t="n"/>
      <c r="N630" s="16" t="n"/>
      <c r="O630" s="16" t="n"/>
      <c r="P630" s="16" t="n"/>
      <c r="Q630" s="16" t="n"/>
      <c r="R630" s="16" t="n"/>
      <c r="S630" s="16" t="n"/>
      <c r="T630" s="16" t="n"/>
      <c r="U630" s="16" t="n"/>
      <c r="V630" s="16" t="n"/>
      <c r="W630" s="16" t="n"/>
      <c r="X630" s="16" t="n"/>
      <c r="Y630" s="16" t="n"/>
      <c r="Z630" s="16" t="n"/>
    </row>
    <row r="631" hidden="1" ht="12.75" customHeight="1" s="588">
      <c r="A631" s="1" t="inlineStr">
        <is>
          <t>Contrato temporal</t>
        </is>
      </c>
      <c r="B631" s="1" t="n"/>
      <c r="C631" s="1" t="n"/>
      <c r="D631" s="1" t="n"/>
      <c r="E631" s="1" t="n"/>
      <c r="F631" s="1" t="n"/>
      <c r="G631" s="1" t="n"/>
      <c r="H631" s="1" t="n"/>
      <c r="I631" s="1" t="n"/>
      <c r="J631" s="1" t="n"/>
      <c r="K631" s="241" t="n"/>
      <c r="L631" s="16" t="n"/>
      <c r="M631" s="16" t="n"/>
      <c r="N631" s="16" t="n"/>
      <c r="O631" s="16" t="n"/>
      <c r="P631" s="16" t="n"/>
      <c r="Q631" s="16" t="n"/>
      <c r="R631" s="16" t="n"/>
      <c r="S631" s="16" t="n"/>
      <c r="T631" s="16" t="n"/>
      <c r="U631" s="16" t="n"/>
      <c r="V631" s="16" t="n"/>
      <c r="W631" s="16" t="n"/>
      <c r="X631" s="16" t="n"/>
      <c r="Y631" s="16" t="n"/>
      <c r="Z631" s="16" t="n"/>
    </row>
    <row r="632" hidden="1" ht="12.75" customHeight="1" s="588">
      <c r="A632" s="1" t="inlineStr">
        <is>
          <t>Contrato a tiempo parcial</t>
        </is>
      </c>
      <c r="B632" s="1" t="n"/>
      <c r="C632" s="1" t="n"/>
      <c r="D632" s="1" t="n"/>
      <c r="E632" s="1" t="n"/>
      <c r="F632" s="1" t="n"/>
      <c r="G632" s="1" t="n"/>
      <c r="H632" s="1" t="n"/>
      <c r="I632" s="1" t="n"/>
      <c r="J632" s="1" t="n"/>
      <c r="K632" s="241" t="n"/>
      <c r="L632" s="16" t="n"/>
      <c r="M632" s="16" t="n"/>
      <c r="N632" s="16" t="n"/>
      <c r="O632" s="16" t="n"/>
      <c r="P632" s="16" t="n"/>
      <c r="Q632" s="16" t="n"/>
      <c r="R632" s="16" t="n"/>
      <c r="S632" s="16" t="n"/>
      <c r="T632" s="16" t="n"/>
      <c r="U632" s="16" t="n"/>
      <c r="V632" s="16" t="n"/>
      <c r="W632" s="16" t="n"/>
      <c r="X632" s="16" t="n"/>
      <c r="Y632" s="16" t="n"/>
      <c r="Z632" s="16" t="n"/>
    </row>
    <row r="633" hidden="1" ht="12.75" customHeight="1" s="588">
      <c r="A633" s="1" t="inlineStr">
        <is>
          <t>Contrato fijo discontínuo</t>
        </is>
      </c>
      <c r="B633" s="242" t="n"/>
      <c r="C633" s="242" t="n"/>
      <c r="D633" s="242" t="n"/>
      <c r="E633" s="242" t="n"/>
      <c r="F633" s="242" t="n"/>
      <c r="G633" s="242" t="n"/>
      <c r="H633" s="242" t="n"/>
      <c r="I633" s="242" t="n"/>
      <c r="J633" s="242" t="n"/>
      <c r="K633" s="241" t="n"/>
      <c r="L633" s="16" t="n"/>
      <c r="M633" s="16" t="n"/>
      <c r="N633" s="16" t="n"/>
      <c r="O633" s="16" t="n"/>
      <c r="P633" s="16" t="n"/>
      <c r="Q633" s="16" t="n"/>
      <c r="R633" s="16" t="n"/>
      <c r="S633" s="16" t="n"/>
      <c r="T633" s="16" t="n"/>
      <c r="U633" s="16" t="n"/>
      <c r="V633" s="16" t="n"/>
      <c r="W633" s="16" t="n"/>
      <c r="X633" s="16" t="n"/>
      <c r="Y633" s="16" t="n"/>
      <c r="Z633" s="16" t="n"/>
    </row>
    <row r="634" ht="12.75" customHeight="1" s="588">
      <c r="A634" s="242" t="n"/>
      <c r="B634" s="1" t="n"/>
      <c r="C634" s="1" t="n"/>
      <c r="D634" s="1" t="n"/>
      <c r="E634" s="1" t="n"/>
      <c r="F634" s="1" t="n"/>
      <c r="G634" s="1" t="n"/>
      <c r="H634" s="1" t="n"/>
      <c r="I634" s="1" t="n"/>
      <c r="J634" s="1" t="n"/>
      <c r="K634" s="1" t="n"/>
      <c r="L634" s="16" t="n"/>
      <c r="M634" s="16" t="n"/>
      <c r="N634" s="16" t="n"/>
      <c r="O634" s="16" t="n"/>
      <c r="P634" s="16" t="n"/>
      <c r="Q634" s="16" t="n"/>
      <c r="R634" s="16" t="n"/>
      <c r="S634" s="16" t="n"/>
      <c r="T634" s="16" t="n"/>
      <c r="U634" s="16" t="n"/>
      <c r="V634" s="16" t="n"/>
      <c r="W634" s="16" t="n"/>
      <c r="X634" s="16" t="n"/>
      <c r="Y634" s="16" t="n"/>
      <c r="Z634" s="16" t="n"/>
    </row>
    <row r="635" ht="12.75" customHeight="1" s="588">
      <c r="A635" s="242" t="n"/>
      <c r="B635" s="1" t="n"/>
      <c r="C635" s="1" t="n"/>
      <c r="D635" s="1" t="n"/>
      <c r="E635" s="1" t="n"/>
      <c r="F635" s="1" t="n"/>
      <c r="G635" s="1" t="n"/>
      <c r="H635" s="1" t="n"/>
      <c r="I635" s="1" t="n"/>
      <c r="J635" s="1" t="n"/>
      <c r="K635" s="1" t="n"/>
    </row>
    <row r="636" ht="12.75" customHeight="1" s="588">
      <c r="A636" s="8" t="inlineStr">
        <is>
          <t>¿CÓMO?</t>
        </is>
      </c>
      <c r="B636" s="1" t="n"/>
      <c r="C636" s="1" t="n"/>
      <c r="D636" s="1" t="n"/>
      <c r="E636" s="1" t="n"/>
      <c r="F636" s="1" t="n"/>
      <c r="G636" s="1" t="n"/>
      <c r="H636" s="1" t="n"/>
      <c r="I636" s="1" t="n"/>
      <c r="J636" s="1" t="n"/>
      <c r="K636" s="185" t="inlineStr">
        <is>
          <t>Plan de Innovación y Sostenibilidad</t>
        </is>
      </c>
    </row>
    <row r="637" ht="12.75" customHeight="1" s="588">
      <c r="A637" s="1" t="n"/>
      <c r="B637" s="1" t="n"/>
      <c r="C637" s="1" t="n"/>
      <c r="D637" s="1" t="n"/>
      <c r="E637" s="1" t="n"/>
      <c r="F637" s="1" t="n"/>
      <c r="G637" s="1" t="n"/>
      <c r="H637" s="1" t="n"/>
      <c r="I637" s="1" t="n"/>
      <c r="J637" s="1" t="n"/>
      <c r="K637" s="1" t="n"/>
      <c r="L637" s="16" t="n"/>
      <c r="M637" s="16" t="n"/>
      <c r="N637" s="16" t="n"/>
      <c r="O637" s="16" t="n"/>
      <c r="P637" s="16" t="n"/>
      <c r="Q637" s="16" t="n"/>
      <c r="R637" s="16" t="n"/>
      <c r="S637" s="16" t="n"/>
      <c r="T637" s="16" t="n"/>
      <c r="U637" s="16" t="n"/>
      <c r="V637" s="16" t="n"/>
      <c r="W637" s="16" t="n"/>
      <c r="X637" s="16" t="n"/>
      <c r="Y637" s="16" t="n"/>
      <c r="Z637" s="16" t="n"/>
    </row>
    <row r="638" ht="12.75" customHeight="1" s="588">
      <c r="A638" s="1" t="n"/>
      <c r="B638" s="1" t="n"/>
      <c r="C638" s="1" t="n"/>
      <c r="D638" s="1" t="n"/>
      <c r="E638" s="1" t="n"/>
      <c r="F638" s="130" t="inlineStr">
        <is>
          <t>Aspectos innovadores de la Idea de Negocio</t>
        </is>
      </c>
      <c r="G638" s="1" t="n"/>
      <c r="H638" s="1" t="n"/>
      <c r="I638" s="1" t="n"/>
      <c r="J638" s="1" t="n"/>
      <c r="K638" s="1" t="n"/>
    </row>
    <row r="639" ht="12.75" customHeight="1" s="588">
      <c r="A639" s="592" t="inlineStr">
        <is>
          <t>ASPECTOS INNOVADORES DE LA IDEA DE NEGOCIO
1. IA GENERATIVA COMO PALANCA DE MARGEN, NO COMO PRODUCTO. La competencia de gama baja usa la IA para vender webs más baratas. Aquí se usa para reducir el tiempo de producción (borradores de texto, variantes gráficas, maquetación inicial) manteniendo el precio, lo que eleva el margen por proyecto. Lo que se vende sigue siendo criterio y continuidad, no generación automática.
2. DIAGNÓSTICO DIGITAL DE 15 MINUTOS COMO PRODUCTO DE ENTRADA. Informe gratuito y estandarizado sobre estado de la web, ficha de Google, velocidad, seguridad y posicionamiento local. Al estar estandarizado, puede ejecutarlo el Socio 2 en la propia visita comercial sin depender del perfil técnico: convierte una visita en una conversación con hallazgos concretos y multiplica la capacidad de prospección.
3. OPTIMIZACIÓN PARA ASISTENTES DE IA. Estructurar la información del negocio (datos estructurados, coherencia entre web, ficha de Google y directorios) para que sea citable por asistentes conversacionales. Ningún proveedor de la comarca lo ofrece en 2026: ventaja de primer movimiento con coste de entrada bajo.
4. MODELO DE INGRESO RECURRENTE EN UN SECTOR DE PROYECTO PUNTUAL. El 27,5% de la facturación del Año 1 procede de cuotas (mantenimiento y SEO local), con objetivo del 35% en el Año 3. Es la innovación con mayor impacto financiero del plan: reduce la dependencia de cerrar ventas nuevas cada mes y hace previsible la caja.
5. SEPARACIÓN DE PRODUCCIÓN Y VENTA DESDE EL DÍA UNO. En un sector donde el estándar es el freelance que produce bien y vende cuando puede, dedicar a un socio en exclusiva a la función comercial es una decisión estructural poco común a esta escala y es la que sostiene el crecimiento del 30% previsto para el Año 2.
6. ESPECIALIZACIÓN VERTICAL LOCAL. Paquetes diseñados para bodegas de la DO Bierzo y para alojamiento del Camino de Santiago, con lo que el conocimiento del negocio del cliente (no la habilidad técnica) se convierte en la barrera de entrada.</t>
        </is>
      </c>
      <c r="B639" s="593" t="n"/>
      <c r="C639" s="593" t="n"/>
      <c r="D639" s="593" t="n"/>
      <c r="E639" s="593" t="n"/>
      <c r="F639" s="593" t="n"/>
      <c r="G639" s="593" t="n"/>
      <c r="H639" s="593" t="n"/>
      <c r="I639" s="593" t="n"/>
      <c r="J639" s="593" t="n"/>
      <c r="K639" s="594" t="n"/>
    </row>
    <row r="640" ht="12.75" customHeight="1" s="588">
      <c r="A640" s="595" t="n"/>
      <c r="K640" s="596" t="n"/>
    </row>
    <row r="641" ht="12.75" customHeight="1" s="588">
      <c r="A641" s="595" t="n"/>
      <c r="K641" s="596" t="n"/>
      <c r="L641" s="16" t="n"/>
      <c r="M641" s="16" t="n"/>
      <c r="N641" s="16" t="n"/>
      <c r="O641" s="16" t="n"/>
      <c r="P641" s="16" t="n"/>
      <c r="Q641" s="16" t="n"/>
      <c r="R641" s="16" t="n"/>
      <c r="S641" s="16" t="n"/>
      <c r="T641" s="16" t="n"/>
      <c r="U641" s="16" t="n"/>
      <c r="V641" s="16" t="n"/>
      <c r="W641" s="16" t="n"/>
      <c r="X641" s="16" t="n"/>
      <c r="Y641" s="16" t="n"/>
      <c r="Z641" s="16" t="n"/>
    </row>
    <row r="642" ht="12.75" customHeight="1" s="588">
      <c r="A642" s="595" t="n"/>
      <c r="K642" s="596" t="n"/>
      <c r="L642" s="16" t="n"/>
      <c r="M642" s="16" t="n"/>
      <c r="N642" s="16" t="n"/>
      <c r="O642" s="16" t="n"/>
      <c r="P642" s="16" t="n"/>
      <c r="Q642" s="16" t="n"/>
      <c r="R642" s="16" t="n"/>
      <c r="S642" s="16" t="n"/>
      <c r="T642" s="16" t="n"/>
      <c r="U642" s="16" t="n"/>
      <c r="V642" s="16" t="n"/>
      <c r="W642" s="16" t="n"/>
      <c r="X642" s="16" t="n"/>
      <c r="Y642" s="16" t="n"/>
      <c r="Z642" s="16" t="n"/>
    </row>
    <row r="643" ht="12.75" customHeight="1" s="588">
      <c r="A643" s="595" t="n"/>
      <c r="K643" s="596" t="n"/>
      <c r="L643" s="16" t="n"/>
      <c r="M643" s="16" t="n"/>
      <c r="N643" s="16" t="n"/>
      <c r="O643" s="16" t="n"/>
      <c r="P643" s="16" t="n"/>
      <c r="Q643" s="16" t="n"/>
      <c r="R643" s="16" t="n"/>
      <c r="S643" s="16" t="n"/>
      <c r="T643" s="16" t="n"/>
      <c r="U643" s="16" t="n"/>
      <c r="V643" s="16" t="n"/>
      <c r="W643" s="16" t="n"/>
      <c r="X643" s="16" t="n"/>
      <c r="Y643" s="16" t="n"/>
      <c r="Z643" s="16" t="n"/>
    </row>
    <row r="644" ht="12.75" customHeight="1" s="588">
      <c r="A644" s="595" t="n"/>
      <c r="K644" s="596" t="n"/>
      <c r="L644" s="16" t="n"/>
      <c r="M644" s="16" t="n"/>
      <c r="N644" s="16" t="n"/>
      <c r="O644" s="16" t="n"/>
      <c r="P644" s="16" t="n"/>
      <c r="Q644" s="16" t="n"/>
      <c r="R644" s="16" t="n"/>
      <c r="S644" s="16" t="n"/>
      <c r="T644" s="16" t="n"/>
      <c r="U644" s="16" t="n"/>
      <c r="V644" s="16" t="n"/>
      <c r="W644" s="16" t="n"/>
      <c r="X644" s="16" t="n"/>
      <c r="Y644" s="16" t="n"/>
      <c r="Z644" s="16" t="n"/>
    </row>
    <row r="645" ht="12.75" customHeight="1" s="588">
      <c r="A645" s="595" t="n"/>
      <c r="K645" s="596" t="n"/>
      <c r="L645" s="16" t="n"/>
      <c r="M645" s="16" t="n"/>
      <c r="N645" s="16" t="n"/>
      <c r="O645" s="16" t="n"/>
      <c r="P645" s="16" t="n"/>
      <c r="Q645" s="16" t="n"/>
      <c r="R645" s="16" t="n"/>
      <c r="S645" s="16" t="n"/>
      <c r="T645" s="16" t="n"/>
      <c r="U645" s="16" t="n"/>
      <c r="V645" s="16" t="n"/>
      <c r="W645" s="16" t="n"/>
      <c r="X645" s="16" t="n"/>
      <c r="Y645" s="16" t="n"/>
      <c r="Z645" s="16" t="n"/>
    </row>
    <row r="646" ht="12.75" customHeight="1" s="588">
      <c r="A646" s="595" t="n"/>
      <c r="K646" s="596" t="n"/>
      <c r="L646" s="16" t="n"/>
      <c r="M646" s="16" t="n"/>
      <c r="N646" s="16" t="n"/>
      <c r="O646" s="16" t="n"/>
      <c r="P646" s="16" t="n"/>
      <c r="Q646" s="16" t="n"/>
      <c r="R646" s="16" t="n"/>
      <c r="S646" s="16" t="n"/>
      <c r="T646" s="16" t="n"/>
      <c r="U646" s="16" t="n"/>
      <c r="V646" s="16" t="n"/>
      <c r="W646" s="16" t="n"/>
      <c r="X646" s="16" t="n"/>
      <c r="Y646" s="16" t="n"/>
      <c r="Z646" s="16" t="n"/>
    </row>
    <row r="647" ht="12.75" customHeight="1" s="588">
      <c r="A647" s="595" t="n"/>
      <c r="K647" s="596" t="n"/>
      <c r="L647" s="16" t="n"/>
      <c r="M647" s="16" t="n"/>
      <c r="N647" s="16" t="n"/>
      <c r="O647" s="16" t="n"/>
      <c r="P647" s="16" t="n"/>
      <c r="Q647" s="16" t="n"/>
      <c r="R647" s="16" t="n"/>
      <c r="S647" s="16" t="n"/>
      <c r="T647" s="16" t="n"/>
      <c r="U647" s="16" t="n"/>
      <c r="V647" s="16" t="n"/>
      <c r="W647" s="16" t="n"/>
      <c r="X647" s="16" t="n"/>
      <c r="Y647" s="16" t="n"/>
      <c r="Z647" s="16" t="n"/>
    </row>
    <row r="648" ht="12.75" customHeight="1" s="588">
      <c r="A648" s="595" t="n"/>
      <c r="K648" s="596" t="n"/>
      <c r="L648" s="16" t="n"/>
      <c r="M648" s="16" t="n"/>
      <c r="N648" s="16" t="n"/>
      <c r="O648" s="16" t="n"/>
      <c r="P648" s="16" t="n"/>
      <c r="Q648" s="16" t="n"/>
      <c r="R648" s="16" t="n"/>
      <c r="S648" s="16" t="n"/>
      <c r="T648" s="16" t="n"/>
      <c r="U648" s="16" t="n"/>
      <c r="V648" s="16" t="n"/>
      <c r="W648" s="16" t="n"/>
      <c r="X648" s="16" t="n"/>
      <c r="Y648" s="16" t="n"/>
      <c r="Z648" s="16" t="n"/>
    </row>
    <row r="649" ht="12.75" customHeight="1" s="588">
      <c r="A649" s="595" t="n"/>
      <c r="K649" s="596" t="n"/>
      <c r="L649" s="16" t="n"/>
      <c r="M649" s="16" t="n"/>
      <c r="N649" s="16" t="n"/>
      <c r="O649" s="16" t="n"/>
      <c r="P649" s="16" t="n"/>
      <c r="Q649" s="16" t="n"/>
      <c r="R649" s="16" t="n"/>
      <c r="S649" s="16" t="n"/>
      <c r="T649" s="16" t="n"/>
      <c r="U649" s="16" t="n"/>
      <c r="V649" s="16" t="n"/>
      <c r="W649" s="16" t="n"/>
      <c r="X649" s="16" t="n"/>
      <c r="Y649" s="16" t="n"/>
      <c r="Z649" s="16" t="n"/>
    </row>
    <row r="650" ht="12.75" customHeight="1" s="588">
      <c r="A650" s="595" t="n"/>
      <c r="K650" s="596" t="n"/>
      <c r="L650" s="16" t="n"/>
      <c r="M650" s="16" t="n"/>
      <c r="N650" s="16" t="n"/>
      <c r="O650" s="16" t="n"/>
      <c r="P650" s="16" t="n"/>
      <c r="Q650" s="16" t="n"/>
      <c r="R650" s="16" t="n"/>
      <c r="S650" s="16" t="n"/>
      <c r="T650" s="16" t="n"/>
      <c r="U650" s="16" t="n"/>
      <c r="V650" s="16" t="n"/>
      <c r="W650" s="16" t="n"/>
      <c r="X650" s="16" t="n"/>
      <c r="Y650" s="16" t="n"/>
      <c r="Z650" s="16" t="n"/>
    </row>
    <row r="651" ht="12.75" customHeight="1" s="588">
      <c r="A651" s="595" t="n"/>
      <c r="K651" s="596" t="n"/>
      <c r="L651" s="16" t="n"/>
      <c r="M651" s="16" t="n"/>
      <c r="N651" s="16" t="n"/>
      <c r="O651" s="16" t="n"/>
      <c r="P651" s="16" t="n"/>
      <c r="Q651" s="16" t="n"/>
      <c r="R651" s="16" t="n"/>
      <c r="S651" s="16" t="n"/>
      <c r="T651" s="16" t="n"/>
      <c r="U651" s="16" t="n"/>
      <c r="V651" s="16" t="n"/>
      <c r="W651" s="16" t="n"/>
      <c r="X651" s="16" t="n"/>
      <c r="Y651" s="16" t="n"/>
      <c r="Z651" s="16" t="n"/>
    </row>
    <row r="652" ht="12.75" customHeight="1" s="588">
      <c r="A652" s="595" t="n"/>
      <c r="K652" s="596" t="n"/>
      <c r="L652" s="16" t="n"/>
      <c r="M652" s="16" t="n"/>
      <c r="N652" s="16" t="n"/>
      <c r="O652" s="16" t="n"/>
      <c r="P652" s="16" t="n"/>
      <c r="Q652" s="16" t="n"/>
      <c r="R652" s="16" t="n"/>
      <c r="S652" s="16" t="n"/>
      <c r="T652" s="16" t="n"/>
      <c r="U652" s="16" t="n"/>
      <c r="V652" s="16" t="n"/>
      <c r="W652" s="16" t="n"/>
      <c r="X652" s="16" t="n"/>
      <c r="Y652" s="16" t="n"/>
      <c r="Z652" s="16" t="n"/>
    </row>
    <row r="653" ht="12.75" customHeight="1" s="588">
      <c r="A653" s="595" t="n"/>
      <c r="K653" s="596" t="n"/>
      <c r="L653" s="16" t="n"/>
      <c r="M653" s="16" t="n"/>
      <c r="N653" s="16" t="n"/>
      <c r="O653" s="16" t="n"/>
      <c r="P653" s="16" t="n"/>
      <c r="Q653" s="16" t="n"/>
      <c r="R653" s="16" t="n"/>
      <c r="S653" s="16" t="n"/>
      <c r="T653" s="16" t="n"/>
      <c r="U653" s="16" t="n"/>
      <c r="V653" s="16" t="n"/>
      <c r="W653" s="16" t="n"/>
      <c r="X653" s="16" t="n"/>
      <c r="Y653" s="16" t="n"/>
      <c r="Z653" s="16" t="n"/>
    </row>
    <row r="654" ht="12.75" customHeight="1" s="588">
      <c r="A654" s="595" t="n"/>
      <c r="K654" s="596" t="n"/>
      <c r="L654" s="16" t="n"/>
      <c r="M654" s="16" t="n"/>
      <c r="N654" s="16" t="n"/>
      <c r="O654" s="16" t="n"/>
      <c r="P654" s="16" t="n"/>
      <c r="Q654" s="16" t="n"/>
      <c r="R654" s="16" t="n"/>
      <c r="S654" s="16" t="n"/>
      <c r="T654" s="16" t="n"/>
      <c r="U654" s="16" t="n"/>
      <c r="V654" s="16" t="n"/>
      <c r="W654" s="16" t="n"/>
      <c r="X654" s="16" t="n"/>
      <c r="Y654" s="16" t="n"/>
      <c r="Z654" s="16" t="n"/>
    </row>
    <row r="655" ht="12.75" customHeight="1" s="588">
      <c r="A655" s="595" t="n"/>
      <c r="K655" s="596" t="n"/>
      <c r="L655" s="16" t="n"/>
      <c r="M655" s="16" t="n"/>
      <c r="N655" s="16" t="n"/>
      <c r="O655" s="16" t="n"/>
      <c r="P655" s="16" t="n"/>
      <c r="Q655" s="16" t="n"/>
      <c r="R655" s="16" t="n"/>
      <c r="S655" s="16" t="n"/>
      <c r="T655" s="16" t="n"/>
      <c r="U655" s="16" t="n"/>
      <c r="V655" s="16" t="n"/>
      <c r="W655" s="16" t="n"/>
      <c r="X655" s="16" t="n"/>
      <c r="Y655" s="16" t="n"/>
      <c r="Z655" s="16" t="n"/>
    </row>
    <row r="656" ht="12.75" customHeight="1" s="588">
      <c r="A656" s="595" t="n"/>
      <c r="K656" s="596" t="n"/>
      <c r="L656" s="16" t="n"/>
      <c r="M656" s="16" t="n"/>
      <c r="N656" s="16" t="n"/>
      <c r="O656" s="16" t="n"/>
      <c r="P656" s="16" t="n"/>
      <c r="Q656" s="16" t="n"/>
      <c r="R656" s="16" t="n"/>
      <c r="S656" s="16" t="n"/>
      <c r="T656" s="16" t="n"/>
      <c r="U656" s="16" t="n"/>
      <c r="V656" s="16" t="n"/>
      <c r="W656" s="16" t="n"/>
      <c r="X656" s="16" t="n"/>
      <c r="Y656" s="16" t="n"/>
      <c r="Z656" s="16" t="n"/>
    </row>
    <row r="657" ht="12.75" customHeight="1" s="588">
      <c r="A657" s="595" t="n"/>
      <c r="K657" s="596" t="n"/>
      <c r="L657" s="16" t="n"/>
      <c r="M657" s="16" t="n"/>
      <c r="N657" s="16" t="n"/>
      <c r="O657" s="16" t="n"/>
      <c r="P657" s="16" t="n"/>
      <c r="Q657" s="16" t="n"/>
      <c r="R657" s="16" t="n"/>
      <c r="S657" s="16" t="n"/>
      <c r="T657" s="16" t="n"/>
      <c r="U657" s="16" t="n"/>
      <c r="V657" s="16" t="n"/>
      <c r="W657" s="16" t="n"/>
      <c r="X657" s="16" t="n"/>
      <c r="Y657" s="16" t="n"/>
      <c r="Z657" s="16" t="n"/>
    </row>
    <row r="658" ht="12.75" customHeight="1" s="588">
      <c r="A658" s="595" t="n"/>
      <c r="K658" s="596" t="n"/>
      <c r="L658" s="16" t="n"/>
      <c r="M658" s="16" t="n"/>
      <c r="N658" s="16" t="n"/>
      <c r="O658" s="16" t="n"/>
      <c r="P658" s="16" t="n"/>
      <c r="Q658" s="16" t="n"/>
      <c r="R658" s="16" t="n"/>
      <c r="S658" s="16" t="n"/>
      <c r="T658" s="16" t="n"/>
      <c r="U658" s="16" t="n"/>
      <c r="V658" s="16" t="n"/>
      <c r="W658" s="16" t="n"/>
      <c r="X658" s="16" t="n"/>
      <c r="Y658" s="16" t="n"/>
      <c r="Z658" s="16" t="n"/>
    </row>
    <row r="659" ht="12.75" customHeight="1" s="588">
      <c r="A659" s="595" t="n"/>
      <c r="K659" s="596" t="n"/>
      <c r="L659" s="16" t="n"/>
      <c r="M659" s="16" t="n"/>
      <c r="N659" s="16" t="n"/>
      <c r="O659" s="16" t="n"/>
      <c r="P659" s="16" t="n"/>
      <c r="Q659" s="16" t="n"/>
      <c r="R659" s="16" t="n"/>
      <c r="S659" s="16" t="n"/>
      <c r="T659" s="16" t="n"/>
      <c r="U659" s="16" t="n"/>
      <c r="V659" s="16" t="n"/>
      <c r="W659" s="16" t="n"/>
      <c r="X659" s="16" t="n"/>
      <c r="Y659" s="16" t="n"/>
      <c r="Z659" s="16" t="n"/>
    </row>
    <row r="660" ht="12.75" customHeight="1" s="588">
      <c r="A660" s="595" t="n"/>
      <c r="K660" s="596" t="n"/>
      <c r="L660" s="16" t="n"/>
      <c r="M660" s="16" t="n"/>
      <c r="N660" s="16" t="n"/>
      <c r="O660" s="16" t="n"/>
      <c r="P660" s="16" t="n"/>
      <c r="Q660" s="16" t="n"/>
      <c r="R660" s="16" t="n"/>
      <c r="S660" s="16" t="n"/>
      <c r="T660" s="16" t="n"/>
      <c r="U660" s="16" t="n"/>
      <c r="V660" s="16" t="n"/>
      <c r="W660" s="16" t="n"/>
      <c r="X660" s="16" t="n"/>
      <c r="Y660" s="16" t="n"/>
      <c r="Z660" s="16" t="n"/>
    </row>
    <row r="661" ht="12.75" customHeight="1" s="588">
      <c r="A661" s="595" t="n"/>
      <c r="K661" s="596" t="n"/>
      <c r="L661" s="16" t="n"/>
      <c r="M661" s="16" t="n"/>
      <c r="N661" s="16" t="n"/>
      <c r="O661" s="16" t="n"/>
      <c r="P661" s="16" t="n"/>
      <c r="Q661" s="16" t="n"/>
      <c r="R661" s="16" t="n"/>
      <c r="S661" s="16" t="n"/>
      <c r="T661" s="16" t="n"/>
      <c r="U661" s="16" t="n"/>
      <c r="V661" s="16" t="n"/>
      <c r="W661" s="16" t="n"/>
      <c r="X661" s="16" t="n"/>
      <c r="Y661" s="16" t="n"/>
      <c r="Z661" s="16" t="n"/>
    </row>
    <row r="662" ht="12.75" customHeight="1" s="588">
      <c r="A662" s="595" t="n"/>
      <c r="K662" s="596" t="n"/>
      <c r="L662" s="16" t="n"/>
      <c r="M662" s="16" t="n"/>
      <c r="N662" s="16" t="n"/>
      <c r="O662" s="16" t="n"/>
      <c r="P662" s="16" t="n"/>
      <c r="Q662" s="16" t="n"/>
      <c r="R662" s="16" t="n"/>
      <c r="S662" s="16" t="n"/>
      <c r="T662" s="16" t="n"/>
      <c r="U662" s="16" t="n"/>
      <c r="V662" s="16" t="n"/>
      <c r="W662" s="16" t="n"/>
      <c r="X662" s="16" t="n"/>
      <c r="Y662" s="16" t="n"/>
      <c r="Z662" s="16" t="n"/>
    </row>
    <row r="663" ht="12.75" customHeight="1" s="588">
      <c r="A663" s="595" t="n"/>
      <c r="K663" s="596" t="n"/>
      <c r="L663" s="16" t="n"/>
      <c r="M663" s="16" t="n"/>
      <c r="N663" s="16" t="n"/>
      <c r="O663" s="16" t="n"/>
      <c r="P663" s="16" t="n"/>
      <c r="Q663" s="16" t="n"/>
      <c r="R663" s="16" t="n"/>
      <c r="S663" s="16" t="n"/>
      <c r="T663" s="16" t="n"/>
      <c r="U663" s="16" t="n"/>
      <c r="V663" s="16" t="n"/>
      <c r="W663" s="16" t="n"/>
      <c r="X663" s="16" t="n"/>
      <c r="Y663" s="16" t="n"/>
      <c r="Z663" s="16" t="n"/>
    </row>
    <row r="664" ht="12.75" customHeight="1" s="588">
      <c r="A664" s="595" t="n"/>
      <c r="K664" s="596" t="n"/>
      <c r="L664" s="16" t="n"/>
      <c r="M664" s="16" t="n"/>
      <c r="N664" s="16" t="n"/>
      <c r="O664" s="16" t="n"/>
      <c r="P664" s="16" t="n"/>
      <c r="Q664" s="16" t="n"/>
      <c r="R664" s="16" t="n"/>
      <c r="S664" s="16" t="n"/>
      <c r="T664" s="16" t="n"/>
      <c r="U664" s="16" t="n"/>
      <c r="V664" s="16" t="n"/>
      <c r="W664" s="16" t="n"/>
      <c r="X664" s="16" t="n"/>
      <c r="Y664" s="16" t="n"/>
      <c r="Z664" s="16" t="n"/>
    </row>
    <row r="665" ht="12.75" customHeight="1" s="588">
      <c r="A665" s="595" t="n"/>
      <c r="K665" s="596" t="n"/>
      <c r="L665" s="16" t="n"/>
      <c r="M665" s="16" t="n"/>
      <c r="N665" s="16" t="n"/>
      <c r="O665" s="16" t="n"/>
      <c r="P665" s="16" t="n"/>
      <c r="Q665" s="16" t="n"/>
      <c r="R665" s="16" t="n"/>
      <c r="S665" s="16" t="n"/>
      <c r="T665" s="16" t="n"/>
      <c r="U665" s="16" t="n"/>
      <c r="V665" s="16" t="n"/>
      <c r="W665" s="16" t="n"/>
      <c r="X665" s="16" t="n"/>
      <c r="Y665" s="16" t="n"/>
      <c r="Z665" s="16" t="n"/>
    </row>
    <row r="666" ht="12.75" customHeight="1" s="588">
      <c r="A666" s="595" t="n"/>
      <c r="K666" s="596" t="n"/>
      <c r="L666" s="16" t="n"/>
      <c r="M666" s="16" t="n"/>
      <c r="N666" s="16" t="n"/>
      <c r="O666" s="16" t="n"/>
      <c r="P666" s="16" t="n"/>
      <c r="Q666" s="16" t="n"/>
      <c r="R666" s="16" t="n"/>
      <c r="S666" s="16" t="n"/>
      <c r="T666" s="16" t="n"/>
      <c r="U666" s="16" t="n"/>
      <c r="V666" s="16" t="n"/>
      <c r="W666" s="16" t="n"/>
      <c r="X666" s="16" t="n"/>
      <c r="Y666" s="16" t="n"/>
      <c r="Z666" s="16" t="n"/>
    </row>
    <row r="667" ht="12.75" customHeight="1" s="588">
      <c r="A667" s="595" t="n"/>
      <c r="K667" s="596" t="n"/>
      <c r="L667" s="16" t="n"/>
      <c r="M667" s="16" t="n"/>
      <c r="N667" s="16" t="n"/>
      <c r="O667" s="16" t="n"/>
      <c r="P667" s="16" t="n"/>
      <c r="Q667" s="16" t="n"/>
      <c r="R667" s="16" t="n"/>
      <c r="S667" s="16" t="n"/>
      <c r="T667" s="16" t="n"/>
      <c r="U667" s="16" t="n"/>
      <c r="V667" s="16" t="n"/>
      <c r="W667" s="16" t="n"/>
      <c r="X667" s="16" t="n"/>
      <c r="Y667" s="16" t="n"/>
      <c r="Z667" s="16" t="n"/>
    </row>
    <row r="668" ht="12.75" customHeight="1" s="588">
      <c r="A668" s="595" t="n"/>
      <c r="K668" s="596" t="n"/>
      <c r="L668" s="16" t="n"/>
      <c r="M668" s="16" t="n"/>
      <c r="N668" s="16" t="n"/>
      <c r="O668" s="16" t="n"/>
      <c r="P668" s="16" t="n"/>
      <c r="Q668" s="16" t="n"/>
      <c r="R668" s="16" t="n"/>
      <c r="S668" s="16" t="n"/>
      <c r="T668" s="16" t="n"/>
      <c r="U668" s="16" t="n"/>
      <c r="V668" s="16" t="n"/>
      <c r="W668" s="16" t="n"/>
      <c r="X668" s="16" t="n"/>
      <c r="Y668" s="16" t="n"/>
      <c r="Z668" s="16" t="n"/>
    </row>
    <row r="669" ht="12.75" customHeight="1" s="588">
      <c r="A669" s="597" t="n"/>
      <c r="B669" s="598" t="n"/>
      <c r="C669" s="598" t="n"/>
      <c r="D669" s="598" t="n"/>
      <c r="E669" s="598" t="n"/>
      <c r="F669" s="598" t="n"/>
      <c r="G669" s="598" t="n"/>
      <c r="H669" s="598" t="n"/>
      <c r="I669" s="598" t="n"/>
      <c r="J669" s="598" t="n"/>
      <c r="K669" s="599" t="n"/>
      <c r="L669" s="16" t="n"/>
      <c r="M669" s="16" t="n"/>
      <c r="N669" s="16" t="n"/>
      <c r="O669" s="16" t="n"/>
      <c r="P669" s="16" t="n"/>
      <c r="Q669" s="16" t="n"/>
      <c r="R669" s="16" t="n"/>
      <c r="S669" s="16" t="n"/>
      <c r="T669" s="16" t="n"/>
      <c r="U669" s="16" t="n"/>
      <c r="V669" s="16" t="n"/>
      <c r="W669" s="16" t="n"/>
      <c r="X669" s="16" t="n"/>
      <c r="Y669" s="16" t="n"/>
      <c r="Z669" s="16" t="n"/>
    </row>
    <row r="670" ht="12.75" customHeight="1" s="588">
      <c r="A670" s="1" t="n"/>
      <c r="B670" s="1" t="n"/>
      <c r="C670" s="1" t="n"/>
      <c r="D670" s="1" t="n"/>
      <c r="E670" s="1" t="n"/>
      <c r="F670" s="1" t="n"/>
      <c r="G670" s="1" t="n"/>
      <c r="H670" s="1" t="n"/>
      <c r="I670" s="1" t="n"/>
      <c r="J670" s="1" t="n"/>
      <c r="K670" s="1" t="n"/>
      <c r="L670" s="16" t="n"/>
      <c r="M670" s="16" t="n"/>
      <c r="N670" s="16" t="n"/>
      <c r="O670" s="16" t="n"/>
      <c r="P670" s="16" t="n"/>
      <c r="Q670" s="16" t="n"/>
      <c r="R670" s="16" t="n"/>
      <c r="S670" s="16" t="n"/>
      <c r="T670" s="16" t="n"/>
      <c r="U670" s="16" t="n"/>
      <c r="V670" s="16" t="n"/>
      <c r="W670" s="16" t="n"/>
      <c r="X670" s="16" t="n"/>
      <c r="Y670" s="16" t="n"/>
      <c r="Z670" s="16" t="n"/>
    </row>
    <row r="671" ht="12.75" customHeight="1" s="588">
      <c r="A671" s="8" t="inlineStr">
        <is>
          <t>¿CÓMO?</t>
        </is>
      </c>
      <c r="B671" s="1" t="n"/>
      <c r="C671" s="1" t="n"/>
      <c r="D671" s="1" t="n"/>
      <c r="E671" s="1" t="n"/>
      <c r="F671" s="1" t="n"/>
      <c r="G671" s="1" t="n"/>
      <c r="H671" s="1" t="n"/>
      <c r="I671" s="1" t="n"/>
      <c r="J671" s="1" t="n"/>
      <c r="K671" s="185" t="inlineStr">
        <is>
          <t>Plan de Innovación y Sostenibilidad</t>
        </is>
      </c>
      <c r="L671" s="16" t="n"/>
      <c r="M671" s="16" t="n"/>
      <c r="N671" s="16" t="n"/>
      <c r="O671" s="16" t="n"/>
      <c r="P671" s="16" t="n"/>
      <c r="Q671" s="16" t="n"/>
      <c r="R671" s="16" t="n"/>
      <c r="S671" s="16" t="n"/>
      <c r="T671" s="16" t="n"/>
      <c r="U671" s="16" t="n"/>
      <c r="V671" s="16" t="n"/>
      <c r="W671" s="16" t="n"/>
      <c r="X671" s="16" t="n"/>
      <c r="Y671" s="16" t="n"/>
      <c r="Z671" s="16" t="n"/>
    </row>
    <row r="672" ht="12.75" customHeight="1" s="588">
      <c r="A672" s="1" t="n"/>
      <c r="B672" s="1" t="n"/>
      <c r="C672" s="1" t="n"/>
      <c r="D672" s="1" t="n"/>
      <c r="E672" s="1" t="n"/>
      <c r="F672" s="1" t="n"/>
      <c r="G672" s="1" t="n"/>
      <c r="H672" s="1" t="n"/>
      <c r="I672" s="1" t="n"/>
      <c r="J672" s="1" t="n"/>
      <c r="K672" s="1" t="n"/>
      <c r="L672" s="16" t="n"/>
      <c r="M672" s="16" t="n"/>
      <c r="N672" s="16" t="n"/>
      <c r="O672" s="16" t="n"/>
      <c r="P672" s="16" t="n"/>
      <c r="Q672" s="16" t="n"/>
      <c r="R672" s="16" t="n"/>
      <c r="S672" s="16" t="n"/>
      <c r="T672" s="16" t="n"/>
      <c r="U672" s="16" t="n"/>
      <c r="V672" s="16" t="n"/>
      <c r="W672" s="16" t="n"/>
      <c r="X672" s="16" t="n"/>
      <c r="Y672" s="16" t="n"/>
      <c r="Z672" s="16" t="n"/>
    </row>
    <row r="673" ht="12.75" customHeight="1" s="588">
      <c r="A673" s="1" t="n"/>
      <c r="B673" s="1" t="n"/>
      <c r="C673" s="1" t="n"/>
      <c r="D673" s="1" t="n"/>
      <c r="E673" s="1" t="n"/>
      <c r="F673" s="130" t="inlineStr">
        <is>
          <t>Innovación adicional 1</t>
        </is>
      </c>
      <c r="G673" s="1" t="n"/>
      <c r="H673" s="1" t="n"/>
      <c r="I673" s="1" t="n"/>
      <c r="J673" s="1" t="n"/>
      <c r="K673" s="1" t="n"/>
      <c r="L673" s="16" t="n"/>
      <c r="M673" s="16" t="n"/>
      <c r="N673" s="16" t="n"/>
      <c r="O673" s="16" t="n"/>
      <c r="P673" s="16" t="n"/>
      <c r="Q673" s="16" t="n"/>
      <c r="R673" s="16" t="n"/>
      <c r="S673" s="16" t="n"/>
      <c r="T673" s="16" t="n"/>
      <c r="U673" s="16" t="n"/>
      <c r="V673" s="16" t="n"/>
      <c r="W673" s="16" t="n"/>
      <c r="X673" s="16" t="n"/>
      <c r="Y673" s="16" t="n"/>
      <c r="Z673" s="16" t="n"/>
    </row>
    <row r="674" ht="12.75" customHeight="1" s="588">
      <c r="A674" s="592" t="inlineStr">
        <is>
          <t>INNOVACIÓN ADICIONAL 1 - BIBLIOTECA PROPIA DE COMPONENTES Y PROCESOS
Cada proyecto entregado alimenta una biblioteca de plantillas, bloques de diseño, textos base por sector y checklists de entrega (RGPD, velocidad, SEO local, accesibilidad).
Objetivo medible: que el 70% de cada proyecto nuevo salga de la biblioteca y solo el 30% sea trabajo a medida. Sin esta disciplina, el coste de producción crece de forma lineal con cada cliente y el margen del 85,8% que sostiene este plan se erosiona proyecto a proyecto.
Es también la condición previa para poder delegar producción sin perder control de calidad: primero en los freelances que absorben los picos del Año 1, y después en la primera contratación por cuenta ajena prevista para el Año 2. Y es lo que permite que el Socio 2 pueda vender un alcance cerrado sabiendo lo que cuesta entregarlo.
Inversión necesaria: ninguna adicional. Se construye con el tiempo ya presupuestado de cada proyecto, a razón de aproximadamente media jornada por entrega.</t>
        </is>
      </c>
      <c r="B674" s="593" t="n"/>
      <c r="C674" s="593" t="n"/>
      <c r="D674" s="593" t="n"/>
      <c r="E674" s="593" t="n"/>
      <c r="F674" s="593" t="n"/>
      <c r="G674" s="593" t="n"/>
      <c r="H674" s="593" t="n"/>
      <c r="I674" s="593" t="n"/>
      <c r="J674" s="593" t="n"/>
      <c r="K674" s="594" t="n"/>
      <c r="L674" s="16" t="n"/>
      <c r="M674" s="16" t="n"/>
      <c r="N674" s="16" t="n"/>
      <c r="O674" s="16" t="n"/>
      <c r="P674" s="16" t="n"/>
      <c r="Q674" s="16" t="n"/>
      <c r="R674" s="16" t="n"/>
      <c r="S674" s="16" t="n"/>
      <c r="T674" s="16" t="n"/>
      <c r="U674" s="16" t="n"/>
      <c r="V674" s="16" t="n"/>
      <c r="W674" s="16" t="n"/>
      <c r="X674" s="16" t="n"/>
      <c r="Y674" s="16" t="n"/>
      <c r="Z674" s="16" t="n"/>
    </row>
    <row r="675" ht="12.75" customHeight="1" s="588">
      <c r="A675" s="595" t="n"/>
      <c r="K675" s="596" t="n"/>
      <c r="L675" s="16" t="n"/>
      <c r="M675" s="16" t="n"/>
      <c r="N675" s="16" t="n"/>
      <c r="O675" s="16" t="n"/>
      <c r="P675" s="16" t="n"/>
      <c r="Q675" s="16" t="n"/>
      <c r="R675" s="16" t="n"/>
      <c r="S675" s="16" t="n"/>
      <c r="T675" s="16" t="n"/>
      <c r="U675" s="16" t="n"/>
      <c r="V675" s="16" t="n"/>
      <c r="W675" s="16" t="n"/>
      <c r="X675" s="16" t="n"/>
      <c r="Y675" s="16" t="n"/>
      <c r="Z675" s="16" t="n"/>
    </row>
    <row r="676" ht="12.75" customHeight="1" s="588">
      <c r="A676" s="595" t="n"/>
      <c r="K676" s="596" t="n"/>
      <c r="L676" s="16" t="n"/>
      <c r="M676" s="16" t="n"/>
      <c r="N676" s="16" t="n"/>
      <c r="O676" s="16" t="n"/>
      <c r="P676" s="16" t="n"/>
      <c r="Q676" s="16" t="n"/>
      <c r="R676" s="16" t="n"/>
      <c r="S676" s="16" t="n"/>
      <c r="T676" s="16" t="n"/>
      <c r="U676" s="16" t="n"/>
      <c r="V676" s="16" t="n"/>
      <c r="W676" s="16" t="n"/>
      <c r="X676" s="16" t="n"/>
      <c r="Y676" s="16" t="n"/>
      <c r="Z676" s="16" t="n"/>
    </row>
    <row r="677" ht="12.75" customHeight="1" s="588">
      <c r="A677" s="595" t="n"/>
      <c r="K677" s="596" t="n"/>
      <c r="L677" s="16" t="n"/>
      <c r="M677" s="16" t="n"/>
      <c r="N677" s="16" t="n"/>
      <c r="O677" s="16" t="n"/>
      <c r="P677" s="16" t="n"/>
      <c r="Q677" s="16" t="n"/>
      <c r="R677" s="16" t="n"/>
      <c r="S677" s="16" t="n"/>
      <c r="T677" s="16" t="n"/>
      <c r="U677" s="16" t="n"/>
      <c r="V677" s="16" t="n"/>
      <c r="W677" s="16" t="n"/>
      <c r="X677" s="16" t="n"/>
      <c r="Y677" s="16" t="n"/>
      <c r="Z677" s="16" t="n"/>
    </row>
    <row r="678" ht="12.75" customHeight="1" s="588">
      <c r="A678" s="595" t="n"/>
      <c r="K678" s="596" t="n"/>
      <c r="L678" s="16" t="n"/>
      <c r="M678" s="16" t="n"/>
      <c r="N678" s="16" t="n"/>
      <c r="O678" s="16" t="n"/>
      <c r="P678" s="16" t="n"/>
      <c r="Q678" s="16" t="n"/>
      <c r="R678" s="16" t="n"/>
      <c r="S678" s="16" t="n"/>
      <c r="T678" s="16" t="n"/>
      <c r="U678" s="16" t="n"/>
      <c r="V678" s="16" t="n"/>
      <c r="W678" s="16" t="n"/>
      <c r="X678" s="16" t="n"/>
      <c r="Y678" s="16" t="n"/>
      <c r="Z678" s="16" t="n"/>
    </row>
    <row r="679" ht="12.75" customHeight="1" s="588">
      <c r="A679" s="595" t="n"/>
      <c r="K679" s="596" t="n"/>
      <c r="L679" s="16" t="n"/>
      <c r="M679" s="16" t="n"/>
      <c r="N679" s="16" t="n"/>
      <c r="O679" s="16" t="n"/>
      <c r="P679" s="16" t="n"/>
      <c r="Q679" s="16" t="n"/>
      <c r="R679" s="16" t="n"/>
      <c r="S679" s="16" t="n"/>
      <c r="T679" s="16" t="n"/>
      <c r="U679" s="16" t="n"/>
      <c r="V679" s="16" t="n"/>
      <c r="W679" s="16" t="n"/>
      <c r="X679" s="16" t="n"/>
      <c r="Y679" s="16" t="n"/>
      <c r="Z679" s="16" t="n"/>
    </row>
    <row r="680" ht="12.75" customHeight="1" s="588">
      <c r="A680" s="595" t="n"/>
      <c r="K680" s="596" t="n"/>
      <c r="L680" s="16" t="n"/>
      <c r="M680" s="16" t="n"/>
      <c r="N680" s="16" t="n"/>
      <c r="O680" s="16" t="n"/>
      <c r="P680" s="16" t="n"/>
      <c r="Q680" s="16" t="n"/>
      <c r="R680" s="16" t="n"/>
      <c r="S680" s="16" t="n"/>
      <c r="T680" s="16" t="n"/>
      <c r="U680" s="16" t="n"/>
      <c r="V680" s="16" t="n"/>
      <c r="W680" s="16" t="n"/>
      <c r="X680" s="16" t="n"/>
      <c r="Y680" s="16" t="n"/>
      <c r="Z680" s="16" t="n"/>
    </row>
    <row r="681" ht="12.75" customHeight="1" s="588">
      <c r="A681" s="595" t="n"/>
      <c r="K681" s="596" t="n"/>
      <c r="L681" s="16" t="n"/>
      <c r="M681" s="16" t="n"/>
      <c r="N681" s="16" t="n"/>
      <c r="O681" s="16" t="n"/>
      <c r="P681" s="16" t="n"/>
      <c r="Q681" s="16" t="n"/>
      <c r="R681" s="16" t="n"/>
      <c r="S681" s="16" t="n"/>
      <c r="T681" s="16" t="n"/>
      <c r="U681" s="16" t="n"/>
      <c r="V681" s="16" t="n"/>
      <c r="W681" s="16" t="n"/>
      <c r="X681" s="16" t="n"/>
      <c r="Y681" s="16" t="n"/>
      <c r="Z681" s="16" t="n"/>
    </row>
    <row r="682" ht="12.75" customHeight="1" s="588">
      <c r="A682" s="595" t="n"/>
      <c r="K682" s="596" t="n"/>
      <c r="L682" s="16" t="n"/>
      <c r="M682" s="16" t="n"/>
      <c r="N682" s="16" t="n"/>
      <c r="O682" s="16" t="n"/>
      <c r="P682" s="16" t="n"/>
      <c r="Q682" s="16" t="n"/>
      <c r="R682" s="16" t="n"/>
      <c r="S682" s="16" t="n"/>
      <c r="T682" s="16" t="n"/>
      <c r="U682" s="16" t="n"/>
      <c r="V682" s="16" t="n"/>
      <c r="W682" s="16" t="n"/>
      <c r="X682" s="16" t="n"/>
      <c r="Y682" s="16" t="n"/>
      <c r="Z682" s="16" t="n"/>
    </row>
    <row r="683" ht="12.75" customHeight="1" s="588">
      <c r="A683" s="595" t="n"/>
      <c r="K683" s="596" t="n"/>
      <c r="L683" s="16" t="n"/>
      <c r="M683" s="16" t="n"/>
      <c r="N683" s="16" t="n"/>
      <c r="O683" s="16" t="n"/>
      <c r="P683" s="16" t="n"/>
      <c r="Q683" s="16" t="n"/>
      <c r="R683" s="16" t="n"/>
      <c r="S683" s="16" t="n"/>
      <c r="T683" s="16" t="n"/>
      <c r="U683" s="16" t="n"/>
      <c r="V683" s="16" t="n"/>
      <c r="W683" s="16" t="n"/>
      <c r="X683" s="16" t="n"/>
      <c r="Y683" s="16" t="n"/>
      <c r="Z683" s="16" t="n"/>
    </row>
    <row r="684" ht="12.75" customHeight="1" s="588">
      <c r="A684" s="595" t="n"/>
      <c r="K684" s="596" t="n"/>
      <c r="L684" s="16" t="n"/>
      <c r="M684" s="16" t="n"/>
      <c r="N684" s="16" t="n"/>
      <c r="O684" s="16" t="n"/>
      <c r="P684" s="16" t="n"/>
      <c r="Q684" s="16" t="n"/>
      <c r="R684" s="16" t="n"/>
      <c r="S684" s="16" t="n"/>
      <c r="T684" s="16" t="n"/>
      <c r="U684" s="16" t="n"/>
      <c r="V684" s="16" t="n"/>
      <c r="W684" s="16" t="n"/>
      <c r="X684" s="16" t="n"/>
      <c r="Y684" s="16" t="n"/>
      <c r="Z684" s="16" t="n"/>
    </row>
    <row r="685" ht="12.75" customHeight="1" s="588">
      <c r="A685" s="595" t="n"/>
      <c r="K685" s="596" t="n"/>
      <c r="L685" s="16" t="n"/>
      <c r="M685" s="16" t="n"/>
      <c r="N685" s="16" t="n"/>
      <c r="O685" s="16" t="n"/>
      <c r="P685" s="16" t="n"/>
      <c r="Q685" s="16" t="n"/>
      <c r="R685" s="16" t="n"/>
      <c r="S685" s="16" t="n"/>
      <c r="T685" s="16" t="n"/>
      <c r="U685" s="16" t="n"/>
      <c r="V685" s="16" t="n"/>
      <c r="W685" s="16" t="n"/>
      <c r="X685" s="16" t="n"/>
      <c r="Y685" s="16" t="n"/>
      <c r="Z685" s="16" t="n"/>
    </row>
    <row r="686" ht="12.75" customHeight="1" s="588">
      <c r="A686" s="595" t="n"/>
      <c r="K686" s="596" t="n"/>
      <c r="L686" s="16" t="n"/>
      <c r="M686" s="16" t="n"/>
      <c r="N686" s="16" t="n"/>
      <c r="O686" s="16" t="n"/>
      <c r="P686" s="16" t="n"/>
      <c r="Q686" s="16" t="n"/>
      <c r="R686" s="16" t="n"/>
      <c r="S686" s="16" t="n"/>
      <c r="T686" s="16" t="n"/>
      <c r="U686" s="16" t="n"/>
      <c r="V686" s="16" t="n"/>
      <c r="W686" s="16" t="n"/>
      <c r="X686" s="16" t="n"/>
      <c r="Y686" s="16" t="n"/>
      <c r="Z686" s="16" t="n"/>
    </row>
    <row r="687" ht="12.75" customHeight="1" s="588">
      <c r="A687" s="597" t="n"/>
      <c r="B687" s="598" t="n"/>
      <c r="C687" s="598" t="n"/>
      <c r="D687" s="598" t="n"/>
      <c r="E687" s="598" t="n"/>
      <c r="F687" s="598" t="n"/>
      <c r="G687" s="598" t="n"/>
      <c r="H687" s="598" t="n"/>
      <c r="I687" s="598" t="n"/>
      <c r="J687" s="598" t="n"/>
      <c r="K687" s="599" t="n"/>
      <c r="L687" s="16" t="n"/>
      <c r="M687" s="16" t="n"/>
      <c r="N687" s="16" t="n"/>
      <c r="O687" s="16" t="n"/>
      <c r="P687" s="16" t="n"/>
      <c r="Q687" s="16" t="n"/>
      <c r="R687" s="16" t="n"/>
      <c r="S687" s="16" t="n"/>
      <c r="T687" s="16" t="n"/>
      <c r="U687" s="16" t="n"/>
      <c r="V687" s="16" t="n"/>
      <c r="W687" s="16" t="n"/>
      <c r="X687" s="16" t="n"/>
      <c r="Y687" s="16" t="n"/>
      <c r="Z687" s="16" t="n"/>
    </row>
    <row r="688" ht="12.75" customHeight="1" s="588">
      <c r="A688" s="252" t="n"/>
      <c r="B688" s="252" t="n"/>
      <c r="C688" s="252" t="n"/>
      <c r="D688" s="252" t="n"/>
      <c r="E688" s="252" t="n"/>
      <c r="F688" s="252" t="n"/>
      <c r="G688" s="252" t="n"/>
      <c r="H688" s="252" t="n"/>
      <c r="I688" s="252" t="n"/>
      <c r="J688" s="252" t="n"/>
      <c r="K688" s="252" t="n"/>
      <c r="L688" s="16" t="n"/>
      <c r="M688" s="16" t="n"/>
      <c r="N688" s="16" t="n"/>
      <c r="O688" s="16" t="n"/>
      <c r="P688" s="16" t="n"/>
      <c r="Q688" s="16" t="n"/>
      <c r="R688" s="16" t="n"/>
      <c r="S688" s="16" t="n"/>
      <c r="T688" s="16" t="n"/>
      <c r="U688" s="16" t="n"/>
      <c r="V688" s="16" t="n"/>
      <c r="W688" s="16" t="n"/>
      <c r="X688" s="16" t="n"/>
      <c r="Y688" s="16" t="n"/>
      <c r="Z688" s="16" t="n"/>
    </row>
    <row r="689" ht="12.75" customHeight="1" s="588">
      <c r="A689" s="252" t="n"/>
      <c r="B689" s="252" t="n"/>
      <c r="C689" s="252" t="n"/>
      <c r="D689" s="252" t="n"/>
      <c r="E689" s="252" t="n"/>
      <c r="F689" s="252" t="n"/>
      <c r="G689" s="252" t="n"/>
      <c r="H689" s="252" t="n"/>
      <c r="I689" s="252" t="n"/>
      <c r="J689" s="252" t="n"/>
      <c r="K689" s="252" t="n"/>
      <c r="L689" s="16" t="n"/>
      <c r="M689" s="16" t="n"/>
      <c r="N689" s="16" t="n"/>
      <c r="O689" s="16" t="n"/>
      <c r="P689" s="16" t="n"/>
      <c r="Q689" s="16" t="n"/>
      <c r="R689" s="16" t="n"/>
      <c r="S689" s="16" t="n"/>
      <c r="T689" s="16" t="n"/>
      <c r="U689" s="16" t="n"/>
      <c r="V689" s="16" t="n"/>
      <c r="W689" s="16" t="n"/>
      <c r="X689" s="16" t="n"/>
      <c r="Y689" s="16" t="n"/>
      <c r="Z689" s="16" t="n"/>
    </row>
    <row r="690" ht="12.75" customHeight="1" s="588">
      <c r="A690" s="252" t="n"/>
      <c r="B690" s="252" t="n"/>
      <c r="C690" s="252" t="n"/>
      <c r="D690" s="252" t="n"/>
      <c r="E690" s="252" t="n"/>
      <c r="F690" s="252" t="n"/>
      <c r="G690" s="252" t="n"/>
      <c r="H690" s="252" t="n"/>
      <c r="I690" s="252" t="n"/>
      <c r="J690" s="252" t="n"/>
      <c r="K690" s="252" t="n"/>
      <c r="L690" s="16" t="n"/>
      <c r="M690" s="16" t="n"/>
      <c r="N690" s="16" t="n"/>
      <c r="O690" s="16" t="n"/>
      <c r="P690" s="16" t="n"/>
      <c r="Q690" s="16" t="n"/>
      <c r="R690" s="16" t="n"/>
      <c r="S690" s="16" t="n"/>
      <c r="T690" s="16" t="n"/>
      <c r="U690" s="16" t="n"/>
      <c r="V690" s="16" t="n"/>
      <c r="W690" s="16" t="n"/>
      <c r="X690" s="16" t="n"/>
      <c r="Y690" s="16" t="n"/>
      <c r="Z690" s="16" t="n"/>
    </row>
    <row r="691" ht="12.75" customHeight="1" s="588">
      <c r="A691" s="252" t="n"/>
      <c r="B691" s="252" t="n"/>
      <c r="C691" s="252" t="n"/>
      <c r="D691" s="252" t="n"/>
      <c r="E691" s="252" t="n"/>
      <c r="F691" s="252" t="n"/>
      <c r="G691" s="252" t="n"/>
      <c r="H691" s="252" t="n"/>
      <c r="I691" s="252" t="n"/>
      <c r="J691" s="252" t="n"/>
      <c r="K691" s="252" t="n"/>
      <c r="L691" s="16" t="n"/>
      <c r="M691" s="16" t="n"/>
      <c r="N691" s="16" t="n"/>
      <c r="O691" s="16" t="n"/>
      <c r="P691" s="16" t="n"/>
      <c r="Q691" s="16" t="n"/>
      <c r="R691" s="16" t="n"/>
      <c r="S691" s="16" t="n"/>
      <c r="T691" s="16" t="n"/>
      <c r="U691" s="16" t="n"/>
      <c r="V691" s="16" t="n"/>
      <c r="W691" s="16" t="n"/>
      <c r="X691" s="16" t="n"/>
      <c r="Y691" s="16" t="n"/>
      <c r="Z691" s="16" t="n"/>
    </row>
    <row r="692" ht="12.75" customHeight="1" s="588">
      <c r="A692" s="252" t="n"/>
      <c r="B692" s="252" t="n"/>
      <c r="C692" s="252" t="n"/>
      <c r="D692" s="252" t="n"/>
      <c r="E692" s="252" t="n"/>
      <c r="F692" s="252" t="n"/>
      <c r="G692" s="252" t="n"/>
      <c r="H692" s="252" t="n"/>
      <c r="I692" s="252" t="n"/>
      <c r="J692" s="252" t="n"/>
      <c r="K692" s="252" t="n"/>
      <c r="L692" s="16" t="n"/>
      <c r="M692" s="16" t="n"/>
      <c r="N692" s="16" t="n"/>
      <c r="O692" s="16" t="n"/>
      <c r="P692" s="16" t="n"/>
      <c r="Q692" s="16" t="n"/>
      <c r="R692" s="16" t="n"/>
      <c r="S692" s="16" t="n"/>
      <c r="T692" s="16" t="n"/>
      <c r="U692" s="16" t="n"/>
      <c r="V692" s="16" t="n"/>
      <c r="W692" s="16" t="n"/>
      <c r="X692" s="16" t="n"/>
      <c r="Y692" s="16" t="n"/>
      <c r="Z692" s="16" t="n"/>
    </row>
    <row r="693" ht="12.75" customHeight="1" s="588">
      <c r="A693" s="252" t="n"/>
      <c r="B693" s="252" t="n"/>
      <c r="C693" s="252" t="n"/>
      <c r="D693" s="252" t="n"/>
      <c r="E693" s="713" t="inlineStr">
        <is>
          <t>Inversiones Necesarias</t>
        </is>
      </c>
      <c r="I693" s="252" t="n"/>
      <c r="J693" s="252" t="n"/>
      <c r="K693" s="252" t="n"/>
      <c r="L693" s="16" t="n"/>
      <c r="M693" s="16" t="n"/>
      <c r="N693" s="16" t="n"/>
      <c r="O693" s="16" t="n"/>
      <c r="P693" s="16" t="n"/>
      <c r="Q693" s="16" t="n"/>
      <c r="R693" s="16" t="n"/>
      <c r="S693" s="16" t="n"/>
      <c r="T693" s="16" t="n"/>
      <c r="U693" s="16" t="n"/>
      <c r="V693" s="16" t="n"/>
      <c r="W693" s="16" t="n"/>
      <c r="X693" s="16" t="n"/>
      <c r="Y693" s="16" t="n"/>
      <c r="Z693" s="16" t="n"/>
    </row>
    <row r="694" ht="12.75" customHeight="1" s="588">
      <c r="A694" s="1" t="n"/>
      <c r="B694" s="1" t="n"/>
      <c r="C694" s="1" t="n"/>
      <c r="D694" s="1" t="n"/>
      <c r="E694" s="1" t="n"/>
      <c r="F694" s="1" t="n"/>
      <c r="G694" s="1" t="n"/>
      <c r="H694" s="1" t="n"/>
      <c r="I694" s="1" t="n"/>
      <c r="J694" s="1" t="n"/>
      <c r="K694" s="1" t="n"/>
      <c r="L694" s="16" t="n"/>
      <c r="M694" s="16" t="n"/>
      <c r="N694" s="16" t="n"/>
      <c r="O694" s="16" t="n"/>
      <c r="P694" s="16" t="n"/>
      <c r="Q694" s="16" t="n"/>
      <c r="R694" s="16" t="n"/>
      <c r="S694" s="16" t="n"/>
      <c r="T694" s="16" t="n"/>
      <c r="U694" s="16" t="n"/>
      <c r="V694" s="16" t="n"/>
      <c r="W694" s="16" t="n"/>
      <c r="X694" s="16" t="n"/>
      <c r="Y694" s="16" t="n"/>
      <c r="Z694" s="16" t="n"/>
    </row>
    <row r="695" ht="18.75" customHeight="1" s="588">
      <c r="A695" s="241" t="n"/>
      <c r="B695" s="44" t="inlineStr">
        <is>
          <t>Descripción</t>
        </is>
      </c>
      <c r="E695" s="44" t="inlineStr">
        <is>
          <t>Iniciales</t>
        </is>
      </c>
      <c r="G695" s="44" t="inlineStr">
        <is>
          <t>Año 2</t>
        </is>
      </c>
      <c r="I695" s="44" t="inlineStr">
        <is>
          <t>Año 3</t>
        </is>
      </c>
      <c r="K695" s="241" t="n"/>
      <c r="L695" s="16" t="n"/>
      <c r="M695" s="16" t="n"/>
      <c r="N695" s="16" t="n"/>
      <c r="O695" s="16" t="n"/>
      <c r="P695" s="16" t="n"/>
      <c r="Q695" s="16" t="n"/>
      <c r="R695" s="16" t="n"/>
      <c r="S695" s="16" t="n"/>
      <c r="T695" s="16" t="n"/>
      <c r="U695" s="16" t="n"/>
      <c r="V695" s="16" t="n"/>
      <c r="W695" s="16" t="n"/>
      <c r="X695" s="16" t="n"/>
      <c r="Y695" s="16" t="n"/>
      <c r="Z695" s="16" t="n"/>
    </row>
    <row r="696" ht="12.75" customHeight="1" s="588">
      <c r="A696" s="241" t="n"/>
      <c r="B696" s="1" t="n"/>
      <c r="C696" s="1" t="n"/>
      <c r="D696" s="1" t="n"/>
      <c r="E696" s="1" t="n"/>
      <c r="F696" s="1" t="n"/>
      <c r="G696" s="1" t="n"/>
      <c r="H696" s="1" t="n"/>
      <c r="I696" s="1" t="n"/>
      <c r="J696" s="1" t="n"/>
      <c r="K696" s="241" t="n"/>
      <c r="L696" s="16" t="n"/>
      <c r="M696" s="16" t="n"/>
      <c r="N696" s="16" t="n"/>
      <c r="O696" s="16" t="n"/>
      <c r="P696" s="16" t="n"/>
      <c r="Q696" s="16" t="n"/>
      <c r="R696" s="16" t="n"/>
      <c r="S696" s="16" t="n"/>
      <c r="T696" s="16" t="n"/>
      <c r="U696" s="16" t="n"/>
      <c r="V696" s="16" t="n"/>
      <c r="W696" s="16" t="n"/>
      <c r="X696" s="16" t="n"/>
      <c r="Y696" s="16" t="n"/>
      <c r="Z696" s="16" t="n"/>
    </row>
    <row r="697" ht="12.75" customHeight="1" s="588">
      <c r="A697" s="241" t="n"/>
      <c r="B697" s="664" t="n"/>
      <c r="C697" s="593" t="n"/>
      <c r="D697" s="594" t="n"/>
      <c r="E697" s="699" t="n"/>
      <c r="F697" s="594" t="n"/>
      <c r="G697" s="699" t="n"/>
      <c r="H697" s="594" t="n"/>
      <c r="I697" s="699" t="n"/>
      <c r="J697" s="594" t="n"/>
      <c r="K697" s="241" t="n"/>
      <c r="L697" s="16" t="n"/>
      <c r="M697" s="16" t="n"/>
      <c r="N697" s="16" t="n"/>
      <c r="O697" s="16" t="n"/>
      <c r="P697" s="16" t="n"/>
      <c r="Q697" s="16" t="n"/>
      <c r="R697" s="16" t="n"/>
      <c r="S697" s="16" t="n"/>
      <c r="T697" s="16" t="n"/>
      <c r="U697" s="16" t="n"/>
      <c r="V697" s="16" t="n"/>
      <c r="W697" s="16" t="n"/>
      <c r="X697" s="16" t="n"/>
      <c r="Y697" s="16" t="n"/>
      <c r="Z697" s="16" t="n"/>
    </row>
    <row r="698" ht="12.75" customHeight="1" s="588">
      <c r="A698" s="241" t="n"/>
      <c r="B698" s="595" t="n"/>
      <c r="D698" s="596" t="n"/>
      <c r="E698" s="595" t="n"/>
      <c r="F698" s="596" t="n"/>
      <c r="G698" s="595" t="n"/>
      <c r="H698" s="596" t="n"/>
      <c r="I698" s="595" t="n"/>
      <c r="J698" s="596" t="n"/>
      <c r="K698" s="241" t="n"/>
      <c r="L698" s="16" t="n"/>
      <c r="M698" s="16" t="n"/>
      <c r="N698" s="16" t="n"/>
      <c r="O698" s="16" t="n"/>
      <c r="P698" s="16" t="n"/>
      <c r="Q698" s="16" t="n"/>
      <c r="R698" s="16" t="n"/>
      <c r="S698" s="16" t="n"/>
      <c r="T698" s="16" t="n"/>
      <c r="U698" s="16" t="n"/>
      <c r="V698" s="16" t="n"/>
      <c r="W698" s="16" t="n"/>
      <c r="X698" s="16" t="n"/>
      <c r="Y698" s="16" t="n"/>
      <c r="Z698" s="16" t="n"/>
    </row>
    <row r="699" ht="12.75" customHeight="1" s="588">
      <c r="A699" s="241" t="n"/>
      <c r="B699" s="595" t="n"/>
      <c r="D699" s="596" t="n"/>
      <c r="E699" s="595" t="n"/>
      <c r="F699" s="596" t="n"/>
      <c r="G699" s="595" t="n"/>
      <c r="H699" s="596" t="n"/>
      <c r="I699" s="595" t="n"/>
      <c r="J699" s="596" t="n"/>
      <c r="K699" s="241" t="n"/>
      <c r="L699" s="16" t="n"/>
      <c r="M699" s="16" t="n"/>
      <c r="N699" s="16" t="n"/>
      <c r="O699" s="16" t="n"/>
      <c r="P699" s="16" t="n"/>
      <c r="Q699" s="16" t="n"/>
      <c r="R699" s="16" t="n"/>
      <c r="S699" s="16" t="n"/>
      <c r="T699" s="16" t="n"/>
      <c r="U699" s="16" t="n"/>
      <c r="V699" s="16" t="n"/>
      <c r="W699" s="16" t="n"/>
      <c r="X699" s="16" t="n"/>
      <c r="Y699" s="16" t="n"/>
      <c r="Z699" s="16" t="n"/>
    </row>
    <row r="700" ht="12.75" customHeight="1" s="588">
      <c r="A700" s="241" t="n"/>
      <c r="B700" s="597" t="n"/>
      <c r="C700" s="598" t="n"/>
      <c r="D700" s="599" t="n"/>
      <c r="E700" s="597" t="n"/>
      <c r="F700" s="599" t="n"/>
      <c r="G700" s="597" t="n"/>
      <c r="H700" s="599" t="n"/>
      <c r="I700" s="597" t="n"/>
      <c r="J700" s="599" t="n"/>
      <c r="K700" s="241" t="n"/>
      <c r="L700" s="16" t="n"/>
      <c r="M700" s="16" t="n"/>
      <c r="N700" s="16" t="n"/>
      <c r="O700" s="16" t="n"/>
      <c r="P700" s="16" t="n"/>
      <c r="Q700" s="16" t="n"/>
      <c r="R700" s="16" t="n"/>
      <c r="S700" s="16" t="n"/>
      <c r="T700" s="16" t="n"/>
      <c r="U700" s="16" t="n"/>
      <c r="V700" s="16" t="n"/>
      <c r="W700" s="16" t="n"/>
      <c r="X700" s="16" t="n"/>
      <c r="Y700" s="16" t="n"/>
      <c r="Z700" s="16" t="n"/>
    </row>
    <row r="701" ht="12.75" customHeight="1" s="588">
      <c r="A701" s="241" t="n"/>
      <c r="B701" s="241" t="n"/>
      <c r="C701" s="241" t="n"/>
      <c r="D701" s="241" t="n"/>
      <c r="E701" s="241" t="n"/>
      <c r="F701" s="241" t="n"/>
      <c r="G701" s="241" t="n"/>
      <c r="H701" s="241" t="n"/>
      <c r="I701" s="241" t="n"/>
      <c r="J701" s="241" t="n"/>
      <c r="K701" s="241" t="n"/>
      <c r="L701" s="16" t="n"/>
      <c r="M701" s="16" t="n"/>
      <c r="N701" s="16" t="n"/>
      <c r="O701" s="16" t="n"/>
      <c r="P701" s="16" t="n"/>
      <c r="Q701" s="16" t="n"/>
      <c r="R701" s="16" t="n"/>
      <c r="S701" s="16" t="n"/>
      <c r="T701" s="16" t="n"/>
      <c r="U701" s="16" t="n"/>
      <c r="V701" s="16" t="n"/>
      <c r="W701" s="16" t="n"/>
      <c r="X701" s="16" t="n"/>
      <c r="Y701" s="16" t="n"/>
      <c r="Z701" s="16" t="n"/>
    </row>
    <row r="702" ht="12.75" customHeight="1" s="588">
      <c r="A702" s="241" t="n"/>
      <c r="B702" s="241" t="n"/>
      <c r="C702" s="241" t="n"/>
      <c r="D702" s="241" t="n"/>
      <c r="E702" s="241" t="n"/>
      <c r="F702" s="241" t="n"/>
      <c r="G702" s="241" t="n"/>
      <c r="H702" s="241" t="n"/>
      <c r="I702" s="241" t="n"/>
      <c r="J702" s="241" t="n"/>
      <c r="K702" s="241" t="n"/>
      <c r="L702" s="16" t="n"/>
      <c r="M702" s="16" t="n"/>
      <c r="N702" s="16" t="n"/>
      <c r="O702" s="16" t="n"/>
      <c r="P702" s="16" t="n"/>
      <c r="Q702" s="16" t="n"/>
      <c r="R702" s="16" t="n"/>
      <c r="S702" s="16" t="n"/>
      <c r="T702" s="16" t="n"/>
      <c r="U702" s="16" t="n"/>
      <c r="V702" s="16" t="n"/>
      <c r="W702" s="16" t="n"/>
      <c r="X702" s="16" t="n"/>
      <c r="Y702" s="16" t="n"/>
      <c r="Z702" s="16" t="n"/>
    </row>
    <row r="703" ht="12.75" customHeight="1" s="588">
      <c r="A703" s="1" t="n"/>
      <c r="B703" s="1" t="n"/>
      <c r="C703" s="1" t="n"/>
      <c r="D703" s="1" t="n"/>
      <c r="E703" s="1" t="n"/>
      <c r="F703" s="1" t="n"/>
      <c r="G703" s="1" t="n"/>
      <c r="H703" s="1" t="n"/>
      <c r="I703" s="1" t="n"/>
      <c r="J703" s="1" t="n"/>
      <c r="K703" s="1" t="n"/>
      <c r="L703" s="16" t="n"/>
      <c r="M703" s="16" t="n"/>
      <c r="N703" s="16" t="n"/>
      <c r="O703" s="16" t="n"/>
      <c r="P703" s="16" t="n"/>
      <c r="Q703" s="16" t="n"/>
      <c r="R703" s="16" t="n"/>
      <c r="S703" s="16" t="n"/>
      <c r="T703" s="16" t="n"/>
      <c r="U703" s="16" t="n"/>
      <c r="V703" s="16" t="n"/>
      <c r="W703" s="16" t="n"/>
      <c r="X703" s="16" t="n"/>
      <c r="Y703" s="16" t="n"/>
      <c r="Z703" s="16" t="n"/>
    </row>
    <row r="704" ht="12.75" customHeight="1" s="588">
      <c r="A704" s="1" t="n"/>
      <c r="B704" s="1" t="n"/>
      <c r="C704" s="1" t="n"/>
      <c r="D704" s="1" t="n"/>
      <c r="E704" s="1" t="n"/>
      <c r="F704" s="1" t="n"/>
      <c r="G704" s="1" t="n"/>
      <c r="H704" s="1" t="n"/>
      <c r="I704" s="1" t="n"/>
      <c r="J704" s="1" t="n"/>
      <c r="K704" s="1" t="n"/>
      <c r="L704" s="16" t="n"/>
      <c r="M704" s="16" t="n"/>
      <c r="N704" s="16" t="n"/>
      <c r="O704" s="16" t="n"/>
      <c r="P704" s="16" t="n"/>
      <c r="Q704" s="16" t="n"/>
      <c r="R704" s="16" t="n"/>
      <c r="S704" s="16" t="n"/>
      <c r="T704" s="16" t="n"/>
      <c r="U704" s="16" t="n"/>
      <c r="V704" s="16" t="n"/>
      <c r="W704" s="16" t="n"/>
      <c r="X704" s="16" t="n"/>
      <c r="Y704" s="16" t="n"/>
      <c r="Z704" s="16" t="n"/>
    </row>
    <row r="705" ht="12.75" customHeight="1" s="588">
      <c r="A705" s="8" t="inlineStr">
        <is>
          <t>¿CÓMO?</t>
        </is>
      </c>
      <c r="B705" s="1" t="n"/>
      <c r="C705" s="1" t="n"/>
      <c r="D705" s="1" t="n"/>
      <c r="E705" s="1" t="n"/>
      <c r="F705" s="1" t="n"/>
      <c r="G705" s="1" t="n"/>
      <c r="H705" s="1" t="n"/>
      <c r="I705" s="1" t="n"/>
      <c r="J705" s="1" t="n"/>
      <c r="K705" s="185" t="inlineStr">
        <is>
          <t>Plan de Innovación y Sostenibilidad</t>
        </is>
      </c>
      <c r="L705" s="16" t="n"/>
      <c r="M705" s="16" t="n"/>
      <c r="N705" s="16" t="n"/>
      <c r="O705" s="16" t="n"/>
      <c r="P705" s="16" t="n"/>
      <c r="Q705" s="16" t="n"/>
      <c r="R705" s="16" t="n"/>
      <c r="S705" s="16" t="n"/>
      <c r="T705" s="16" t="n"/>
      <c r="U705" s="16" t="n"/>
      <c r="V705" s="16" t="n"/>
      <c r="W705" s="16" t="n"/>
      <c r="X705" s="16" t="n"/>
      <c r="Y705" s="16" t="n"/>
      <c r="Z705" s="16" t="n"/>
    </row>
    <row r="706" ht="12.75" customHeight="1" s="588">
      <c r="A706" s="1" t="n"/>
      <c r="B706" s="1" t="n"/>
      <c r="C706" s="1" t="n"/>
      <c r="D706" s="1" t="n"/>
      <c r="E706" s="1" t="n"/>
      <c r="F706" s="1" t="n"/>
      <c r="G706" s="1" t="n"/>
      <c r="H706" s="1" t="n"/>
      <c r="I706" s="1" t="n"/>
      <c r="J706" s="1" t="n"/>
      <c r="K706" s="1" t="n"/>
      <c r="L706" s="16" t="n"/>
      <c r="M706" s="16" t="n"/>
      <c r="N706" s="16" t="n"/>
      <c r="O706" s="16" t="n"/>
      <c r="P706" s="16" t="n"/>
      <c r="Q706" s="16" t="n"/>
      <c r="R706" s="16" t="n"/>
      <c r="S706" s="16" t="n"/>
      <c r="T706" s="16" t="n"/>
      <c r="U706" s="16" t="n"/>
      <c r="V706" s="16" t="n"/>
      <c r="W706" s="16" t="n"/>
      <c r="X706" s="16" t="n"/>
      <c r="Y706" s="16" t="n"/>
      <c r="Z706" s="16" t="n"/>
    </row>
    <row r="707" ht="12.75" customHeight="1" s="588">
      <c r="A707" s="1" t="n"/>
      <c r="B707" s="1" t="n"/>
      <c r="C707" s="1" t="n"/>
      <c r="D707" s="1" t="n"/>
      <c r="E707" s="1" t="n"/>
      <c r="F707" s="130" t="inlineStr">
        <is>
          <t>Innovación adicional 2</t>
        </is>
      </c>
      <c r="G707" s="1" t="n"/>
      <c r="H707" s="1" t="n"/>
      <c r="I707" s="1" t="n"/>
      <c r="J707" s="1" t="n"/>
      <c r="K707" s="1" t="n"/>
      <c r="L707" s="16" t="n"/>
      <c r="M707" s="16" t="n"/>
      <c r="N707" s="16" t="n"/>
      <c r="O707" s="16" t="n"/>
      <c r="P707" s="16" t="n"/>
      <c r="Q707" s="16" t="n"/>
      <c r="R707" s="16" t="n"/>
      <c r="S707" s="16" t="n"/>
      <c r="T707" s="16" t="n"/>
      <c r="U707" s="16" t="n"/>
      <c r="V707" s="16" t="n"/>
      <c r="W707" s="16" t="n"/>
      <c r="X707" s="16" t="n"/>
      <c r="Y707" s="16" t="n"/>
      <c r="Z707" s="16" t="n"/>
    </row>
    <row r="708" ht="12.75" customHeight="1" s="588">
      <c r="A708" s="592" t="n"/>
      <c r="B708" s="593" t="n"/>
      <c r="C708" s="593" t="n"/>
      <c r="D708" s="593" t="n"/>
      <c r="E708" s="593" t="n"/>
      <c r="F708" s="593" t="n"/>
      <c r="G708" s="593" t="n"/>
      <c r="H708" s="593" t="n"/>
      <c r="I708" s="593" t="n"/>
      <c r="J708" s="593" t="n"/>
      <c r="K708" s="594" t="n"/>
      <c r="L708" s="16" t="n"/>
      <c r="M708" s="16" t="n"/>
      <c r="N708" s="16" t="n"/>
      <c r="O708" s="16" t="n"/>
      <c r="P708" s="16" t="n"/>
      <c r="Q708" s="16" t="n"/>
      <c r="R708" s="16" t="n"/>
      <c r="S708" s="16" t="n"/>
      <c r="T708" s="16" t="n"/>
      <c r="U708" s="16" t="n"/>
      <c r="V708" s="16" t="n"/>
      <c r="W708" s="16" t="n"/>
      <c r="X708" s="16" t="n"/>
      <c r="Y708" s="16" t="n"/>
      <c r="Z708" s="16" t="n"/>
    </row>
    <row r="709" ht="12.75" customHeight="1" s="588">
      <c r="A709" s="595" t="n"/>
      <c r="K709" s="596" t="n"/>
      <c r="L709" s="16" t="n"/>
      <c r="M709" s="16" t="n"/>
      <c r="N709" s="16" t="n"/>
      <c r="O709" s="16" t="n"/>
      <c r="P709" s="16" t="n"/>
      <c r="Q709" s="16" t="n"/>
      <c r="R709" s="16" t="n"/>
      <c r="S709" s="16" t="n"/>
      <c r="T709" s="16" t="n"/>
      <c r="U709" s="16" t="n"/>
      <c r="V709" s="16" t="n"/>
      <c r="W709" s="16" t="n"/>
      <c r="X709" s="16" t="n"/>
      <c r="Y709" s="16" t="n"/>
      <c r="Z709" s="16" t="n"/>
    </row>
    <row r="710" ht="12.75" customHeight="1" s="588">
      <c r="A710" s="595" t="n"/>
      <c r="K710" s="596" t="n"/>
      <c r="L710" s="16" t="n"/>
      <c r="M710" s="16" t="n"/>
      <c r="N710" s="16" t="n"/>
      <c r="O710" s="16" t="n"/>
      <c r="P710" s="16" t="n"/>
      <c r="Q710" s="16" t="n"/>
      <c r="R710" s="16" t="n"/>
      <c r="S710" s="16" t="n"/>
      <c r="T710" s="16" t="n"/>
      <c r="U710" s="16" t="n"/>
      <c r="V710" s="16" t="n"/>
      <c r="W710" s="16" t="n"/>
      <c r="X710" s="16" t="n"/>
      <c r="Y710" s="16" t="n"/>
      <c r="Z710" s="16" t="n"/>
    </row>
    <row r="711" ht="12.75" customHeight="1" s="588">
      <c r="A711" s="595" t="n"/>
      <c r="K711" s="596" t="n"/>
      <c r="L711" s="16" t="n"/>
      <c r="M711" s="16" t="n"/>
      <c r="N711" s="16" t="n"/>
      <c r="O711" s="16" t="n"/>
      <c r="P711" s="16" t="n"/>
      <c r="Q711" s="16" t="n"/>
      <c r="R711" s="16" t="n"/>
      <c r="S711" s="16" t="n"/>
      <c r="T711" s="16" t="n"/>
      <c r="U711" s="16" t="n"/>
      <c r="V711" s="16" t="n"/>
      <c r="W711" s="16" t="n"/>
      <c r="X711" s="16" t="n"/>
      <c r="Y711" s="16" t="n"/>
      <c r="Z711" s="16" t="n"/>
    </row>
    <row r="712" ht="12.75" customHeight="1" s="588">
      <c r="A712" s="595" t="n"/>
      <c r="K712" s="596" t="n"/>
      <c r="L712" s="16" t="n"/>
      <c r="M712" s="16" t="n"/>
      <c r="N712" s="16" t="n"/>
      <c r="O712" s="16" t="n"/>
      <c r="P712" s="16" t="n"/>
      <c r="Q712" s="16" t="n"/>
      <c r="R712" s="16" t="n"/>
      <c r="S712" s="16" t="n"/>
      <c r="T712" s="16" t="n"/>
      <c r="U712" s="16" t="n"/>
      <c r="V712" s="16" t="n"/>
      <c r="W712" s="16" t="n"/>
      <c r="X712" s="16" t="n"/>
      <c r="Y712" s="16" t="n"/>
      <c r="Z712" s="16" t="n"/>
    </row>
    <row r="713" ht="12.75" customHeight="1" s="588">
      <c r="A713" s="595" t="n"/>
      <c r="K713" s="596" t="n"/>
      <c r="L713" s="16" t="n"/>
      <c r="M713" s="16" t="n"/>
      <c r="N713" s="16" t="n"/>
      <c r="O713" s="16" t="n"/>
      <c r="P713" s="16" t="n"/>
      <c r="Q713" s="16" t="n"/>
      <c r="R713" s="16" t="n"/>
      <c r="S713" s="16" t="n"/>
      <c r="T713" s="16" t="n"/>
      <c r="U713" s="16" t="n"/>
      <c r="V713" s="16" t="n"/>
      <c r="W713" s="16" t="n"/>
      <c r="X713" s="16" t="n"/>
      <c r="Y713" s="16" t="n"/>
      <c r="Z713" s="16" t="n"/>
    </row>
    <row r="714" ht="12.75" customHeight="1" s="588">
      <c r="A714" s="595" t="n"/>
      <c r="K714" s="596" t="n"/>
      <c r="L714" s="16" t="n"/>
      <c r="M714" s="16" t="n"/>
      <c r="N714" s="16" t="n"/>
      <c r="O714" s="16" t="n"/>
      <c r="P714" s="16" t="n"/>
      <c r="Q714" s="16" t="n"/>
      <c r="R714" s="16" t="n"/>
      <c r="S714" s="16" t="n"/>
      <c r="T714" s="16" t="n"/>
      <c r="U714" s="16" t="n"/>
      <c r="V714" s="16" t="n"/>
      <c r="W714" s="16" t="n"/>
      <c r="X714" s="16" t="n"/>
      <c r="Y714" s="16" t="n"/>
      <c r="Z714" s="16" t="n"/>
    </row>
    <row r="715" ht="12.75" customHeight="1" s="588">
      <c r="A715" s="595" t="n"/>
      <c r="K715" s="596" t="n"/>
      <c r="L715" s="16" t="n"/>
      <c r="M715" s="16" t="n"/>
      <c r="N715" s="16" t="n"/>
      <c r="O715" s="16" t="n"/>
      <c r="P715" s="16" t="n"/>
      <c r="Q715" s="16" t="n"/>
      <c r="R715" s="16" t="n"/>
      <c r="S715" s="16" t="n"/>
      <c r="T715" s="16" t="n"/>
      <c r="U715" s="16" t="n"/>
      <c r="V715" s="16" t="n"/>
      <c r="W715" s="16" t="n"/>
      <c r="X715" s="16" t="n"/>
      <c r="Y715" s="16" t="n"/>
      <c r="Z715" s="16" t="n"/>
    </row>
    <row r="716" ht="12.75" customHeight="1" s="588">
      <c r="A716" s="595" t="n"/>
      <c r="K716" s="596" t="n"/>
      <c r="L716" s="16" t="n"/>
      <c r="M716" s="16" t="n"/>
      <c r="N716" s="16" t="n"/>
      <c r="O716" s="16" t="n"/>
      <c r="P716" s="16" t="n"/>
      <c r="Q716" s="16" t="n"/>
      <c r="R716" s="16" t="n"/>
      <c r="S716" s="16" t="n"/>
      <c r="T716" s="16" t="n"/>
      <c r="U716" s="16" t="n"/>
      <c r="V716" s="16" t="n"/>
      <c r="W716" s="16" t="n"/>
      <c r="X716" s="16" t="n"/>
      <c r="Y716" s="16" t="n"/>
      <c r="Z716" s="16" t="n"/>
    </row>
    <row r="717" ht="12.75" customHeight="1" s="588">
      <c r="A717" s="595" t="n"/>
      <c r="K717" s="596" t="n"/>
      <c r="L717" s="16" t="n"/>
      <c r="M717" s="16" t="n"/>
      <c r="N717" s="16" t="n"/>
      <c r="O717" s="16" t="n"/>
      <c r="P717" s="16" t="n"/>
      <c r="Q717" s="16" t="n"/>
      <c r="R717" s="16" t="n"/>
      <c r="S717" s="16" t="n"/>
      <c r="T717" s="16" t="n"/>
      <c r="U717" s="16" t="n"/>
      <c r="V717" s="16" t="n"/>
      <c r="W717" s="16" t="n"/>
      <c r="X717" s="16" t="n"/>
      <c r="Y717" s="16" t="n"/>
      <c r="Z717" s="16" t="n"/>
    </row>
    <row r="718" ht="12.75" customHeight="1" s="588">
      <c r="A718" s="595" t="n"/>
      <c r="K718" s="596" t="n"/>
      <c r="L718" s="16" t="n"/>
      <c r="M718" s="16" t="n"/>
      <c r="N718" s="16" t="n"/>
      <c r="O718" s="16" t="n"/>
      <c r="P718" s="16" t="n"/>
      <c r="Q718" s="16" t="n"/>
      <c r="R718" s="16" t="n"/>
      <c r="S718" s="16" t="n"/>
      <c r="T718" s="16" t="n"/>
      <c r="U718" s="16" t="n"/>
      <c r="V718" s="16" t="n"/>
      <c r="W718" s="16" t="n"/>
      <c r="X718" s="16" t="n"/>
      <c r="Y718" s="16" t="n"/>
      <c r="Z718" s="16" t="n"/>
    </row>
    <row r="719" ht="12.75" customHeight="1" s="588">
      <c r="A719" s="595" t="n"/>
      <c r="K719" s="596" t="n"/>
      <c r="L719" s="16" t="n"/>
      <c r="M719" s="16" t="n"/>
      <c r="N719" s="16" t="n"/>
      <c r="O719" s="16" t="n"/>
      <c r="P719" s="16" t="n"/>
      <c r="Q719" s="16" t="n"/>
      <c r="R719" s="16" t="n"/>
      <c r="S719" s="16" t="n"/>
      <c r="T719" s="16" t="n"/>
      <c r="U719" s="16" t="n"/>
      <c r="V719" s="16" t="n"/>
      <c r="W719" s="16" t="n"/>
      <c r="X719" s="16" t="n"/>
      <c r="Y719" s="16" t="n"/>
      <c r="Z719" s="16" t="n"/>
    </row>
    <row r="720" ht="12.75" customHeight="1" s="588">
      <c r="A720" s="595" t="n"/>
      <c r="K720" s="596" t="n"/>
      <c r="L720" s="16" t="n"/>
      <c r="M720" s="16" t="n"/>
      <c r="N720" s="16" t="n"/>
      <c r="O720" s="16" t="n"/>
      <c r="P720" s="16" t="n"/>
      <c r="Q720" s="16" t="n"/>
      <c r="R720" s="16" t="n"/>
      <c r="S720" s="16" t="n"/>
      <c r="T720" s="16" t="n"/>
      <c r="U720" s="16" t="n"/>
      <c r="V720" s="16" t="n"/>
      <c r="W720" s="16" t="n"/>
      <c r="X720" s="16" t="n"/>
      <c r="Y720" s="16" t="n"/>
      <c r="Z720" s="16" t="n"/>
    </row>
    <row r="721" ht="12.75" customHeight="1" s="588">
      <c r="A721" s="597" t="n"/>
      <c r="B721" s="598" t="n"/>
      <c r="C721" s="598" t="n"/>
      <c r="D721" s="598" t="n"/>
      <c r="E721" s="598" t="n"/>
      <c r="F721" s="598" t="n"/>
      <c r="G721" s="598" t="n"/>
      <c r="H721" s="598" t="n"/>
      <c r="I721" s="598" t="n"/>
      <c r="J721" s="598" t="n"/>
      <c r="K721" s="599" t="n"/>
      <c r="L721" s="16" t="n"/>
      <c r="M721" s="16" t="n"/>
      <c r="N721" s="16" t="n"/>
      <c r="O721" s="16" t="n"/>
      <c r="P721" s="16" t="n"/>
      <c r="Q721" s="16" t="n"/>
      <c r="R721" s="16" t="n"/>
      <c r="S721" s="16" t="n"/>
      <c r="T721" s="16" t="n"/>
      <c r="U721" s="16" t="n"/>
      <c r="V721" s="16" t="n"/>
      <c r="W721" s="16" t="n"/>
      <c r="X721" s="16" t="n"/>
      <c r="Y721" s="16" t="n"/>
      <c r="Z721" s="16" t="n"/>
    </row>
    <row r="722" ht="12.75" customHeight="1" s="588">
      <c r="A722" s="252" t="n"/>
      <c r="B722" s="252" t="n"/>
      <c r="C722" s="252" t="n"/>
      <c r="D722" s="252" t="n"/>
      <c r="E722" s="252" t="n"/>
      <c r="F722" s="252" t="n"/>
      <c r="G722" s="252" t="n"/>
      <c r="H722" s="252" t="n"/>
      <c r="I722" s="252" t="n"/>
      <c r="J722" s="252" t="n"/>
      <c r="K722" s="252" t="n"/>
      <c r="L722" s="16" t="n"/>
      <c r="M722" s="16" t="n"/>
      <c r="N722" s="16" t="n"/>
      <c r="O722" s="16" t="n"/>
      <c r="P722" s="16" t="n"/>
      <c r="Q722" s="16" t="n"/>
      <c r="R722" s="16" t="n"/>
      <c r="S722" s="16" t="n"/>
      <c r="T722" s="16" t="n"/>
      <c r="U722" s="16" t="n"/>
      <c r="V722" s="16" t="n"/>
      <c r="W722" s="16" t="n"/>
      <c r="X722" s="16" t="n"/>
      <c r="Y722" s="16" t="n"/>
      <c r="Z722" s="16" t="n"/>
    </row>
    <row r="723" ht="12.75" customHeight="1" s="588">
      <c r="A723" s="252" t="n"/>
      <c r="B723" s="252" t="n"/>
      <c r="C723" s="252" t="n"/>
      <c r="D723" s="252" t="n"/>
      <c r="E723" s="252" t="n"/>
      <c r="F723" s="252" t="n"/>
      <c r="G723" s="252" t="n"/>
      <c r="H723" s="252" t="n"/>
      <c r="I723" s="252" t="n"/>
      <c r="J723" s="252" t="n"/>
      <c r="K723" s="252" t="n"/>
      <c r="L723" s="16" t="n"/>
      <c r="M723" s="16" t="n"/>
      <c r="N723" s="16" t="n"/>
      <c r="O723" s="16" t="n"/>
      <c r="P723" s="16" t="n"/>
      <c r="Q723" s="16" t="n"/>
      <c r="R723" s="16" t="n"/>
      <c r="S723" s="16" t="n"/>
      <c r="T723" s="16" t="n"/>
      <c r="U723" s="16" t="n"/>
      <c r="V723" s="16" t="n"/>
      <c r="W723" s="16" t="n"/>
      <c r="X723" s="16" t="n"/>
      <c r="Y723" s="16" t="n"/>
      <c r="Z723" s="16" t="n"/>
    </row>
    <row r="724" ht="12.75" customHeight="1" s="588">
      <c r="A724" s="252" t="n"/>
      <c r="B724" s="252" t="n"/>
      <c r="C724" s="252" t="n"/>
      <c r="D724" s="252" t="n"/>
      <c r="E724" s="252" t="n"/>
      <c r="F724" s="252" t="n"/>
      <c r="G724" s="252" t="n"/>
      <c r="H724" s="252" t="n"/>
      <c r="I724" s="252" t="n"/>
      <c r="J724" s="252" t="n"/>
      <c r="K724" s="252" t="n"/>
      <c r="L724" s="16" t="n"/>
      <c r="M724" s="16" t="n"/>
      <c r="N724" s="16" t="n"/>
      <c r="O724" s="16" t="n"/>
      <c r="P724" s="16" t="n"/>
      <c r="Q724" s="16" t="n"/>
      <c r="R724" s="16" t="n"/>
      <c r="S724" s="16" t="n"/>
      <c r="T724" s="16" t="n"/>
      <c r="U724" s="16" t="n"/>
      <c r="V724" s="16" t="n"/>
      <c r="W724" s="16" t="n"/>
      <c r="X724" s="16" t="n"/>
      <c r="Y724" s="16" t="n"/>
      <c r="Z724" s="16" t="n"/>
    </row>
    <row r="725" ht="12.75" customHeight="1" s="588">
      <c r="A725" s="252" t="n"/>
      <c r="B725" s="252" t="n"/>
      <c r="C725" s="252" t="n"/>
      <c r="D725" s="252" t="n"/>
      <c r="E725" s="252" t="n"/>
      <c r="F725" s="252" t="n"/>
      <c r="G725" s="252" t="n"/>
      <c r="H725" s="252" t="n"/>
      <c r="I725" s="252" t="n"/>
      <c r="J725" s="252" t="n"/>
      <c r="K725" s="252" t="n"/>
      <c r="L725" s="16" t="n"/>
      <c r="M725" s="16" t="n"/>
      <c r="N725" s="16" t="n"/>
      <c r="O725" s="16" t="n"/>
      <c r="P725" s="16" t="n"/>
      <c r="Q725" s="16" t="n"/>
      <c r="R725" s="16" t="n"/>
      <c r="S725" s="16" t="n"/>
      <c r="T725" s="16" t="n"/>
      <c r="U725" s="16" t="n"/>
      <c r="V725" s="16" t="n"/>
      <c r="W725" s="16" t="n"/>
      <c r="X725" s="16" t="n"/>
      <c r="Y725" s="16" t="n"/>
      <c r="Z725" s="16" t="n"/>
    </row>
    <row r="726" ht="12.75" customHeight="1" s="588">
      <c r="A726" s="252" t="n"/>
      <c r="B726" s="252" t="n"/>
      <c r="C726" s="252" t="n"/>
      <c r="D726" s="252" t="n"/>
      <c r="E726" s="252" t="n"/>
      <c r="F726" s="252" t="n"/>
      <c r="G726" s="252" t="n"/>
      <c r="H726" s="252" t="n"/>
      <c r="I726" s="252" t="n"/>
      <c r="J726" s="252" t="n"/>
      <c r="K726" s="252" t="n"/>
      <c r="L726" s="16" t="n"/>
      <c r="M726" s="16" t="n"/>
      <c r="N726" s="16" t="n"/>
      <c r="O726" s="16" t="n"/>
      <c r="P726" s="16" t="n"/>
      <c r="Q726" s="16" t="n"/>
      <c r="R726" s="16" t="n"/>
      <c r="S726" s="16" t="n"/>
      <c r="T726" s="16" t="n"/>
      <c r="U726" s="16" t="n"/>
      <c r="V726" s="16" t="n"/>
      <c r="W726" s="16" t="n"/>
      <c r="X726" s="16" t="n"/>
      <c r="Y726" s="16" t="n"/>
      <c r="Z726" s="16" t="n"/>
    </row>
    <row r="727" ht="12.75" customHeight="1" s="588">
      <c r="A727" s="252" t="n"/>
      <c r="B727" s="252" t="n"/>
      <c r="C727" s="252" t="n"/>
      <c r="D727" s="252" t="n"/>
      <c r="E727" s="713" t="inlineStr">
        <is>
          <t>Inversiones Necesarias</t>
        </is>
      </c>
      <c r="I727" s="252" t="n"/>
      <c r="J727" s="252" t="n"/>
      <c r="K727" s="252" t="n"/>
      <c r="L727" s="16" t="n"/>
      <c r="M727" s="16" t="n"/>
      <c r="N727" s="16" t="n"/>
      <c r="O727" s="16" t="n"/>
      <c r="P727" s="16" t="n"/>
      <c r="Q727" s="16" t="n"/>
      <c r="R727" s="16" t="n"/>
      <c r="S727" s="16" t="n"/>
      <c r="T727" s="16" t="n"/>
      <c r="U727" s="16" t="n"/>
      <c r="V727" s="16" t="n"/>
      <c r="W727" s="16" t="n"/>
      <c r="X727" s="16" t="n"/>
      <c r="Y727" s="16" t="n"/>
      <c r="Z727" s="16" t="n"/>
    </row>
    <row r="728" ht="12.75" customHeight="1" s="588">
      <c r="A728" s="1" t="n"/>
      <c r="B728" s="1" t="n"/>
      <c r="C728" s="1" t="n"/>
      <c r="D728" s="1" t="n"/>
      <c r="E728" s="1" t="n"/>
      <c r="F728" s="1" t="n"/>
      <c r="G728" s="1" t="n"/>
      <c r="H728" s="1" t="n"/>
      <c r="I728" s="1" t="n"/>
      <c r="J728" s="1" t="n"/>
      <c r="K728" s="1" t="n"/>
      <c r="L728" s="16" t="n"/>
      <c r="M728" s="16" t="n"/>
      <c r="N728" s="16" t="n"/>
      <c r="O728" s="16" t="n"/>
      <c r="P728" s="16" t="n"/>
      <c r="Q728" s="16" t="n"/>
      <c r="R728" s="16" t="n"/>
      <c r="S728" s="16" t="n"/>
      <c r="T728" s="16" t="n"/>
      <c r="U728" s="16" t="n"/>
      <c r="V728" s="16" t="n"/>
      <c r="W728" s="16" t="n"/>
      <c r="X728" s="16" t="n"/>
      <c r="Y728" s="16" t="n"/>
      <c r="Z728" s="16" t="n"/>
    </row>
    <row r="729" ht="18.75" customHeight="1" s="588">
      <c r="A729" s="241" t="n"/>
      <c r="B729" s="44" t="inlineStr">
        <is>
          <t>Descripción</t>
        </is>
      </c>
      <c r="E729" s="44" t="inlineStr">
        <is>
          <t>Iniciales</t>
        </is>
      </c>
      <c r="G729" s="44" t="inlineStr">
        <is>
          <t>Año 2</t>
        </is>
      </c>
      <c r="I729" s="44" t="inlineStr">
        <is>
          <t>Año 3</t>
        </is>
      </c>
      <c r="K729" s="241" t="n"/>
      <c r="L729" s="16" t="n"/>
      <c r="M729" s="16" t="n"/>
      <c r="N729" s="16" t="n"/>
      <c r="O729" s="16" t="n"/>
      <c r="P729" s="16" t="n"/>
      <c r="Q729" s="16" t="n"/>
      <c r="R729" s="16" t="n"/>
      <c r="S729" s="16" t="n"/>
      <c r="T729" s="16" t="n"/>
      <c r="U729" s="16" t="n"/>
      <c r="V729" s="16" t="n"/>
      <c r="W729" s="16" t="n"/>
      <c r="X729" s="16" t="n"/>
      <c r="Y729" s="16" t="n"/>
      <c r="Z729" s="16" t="n"/>
    </row>
    <row r="730" ht="12.75" customHeight="1" s="588">
      <c r="A730" s="241" t="n"/>
      <c r="B730" s="1" t="n"/>
      <c r="C730" s="1" t="n"/>
      <c r="D730" s="1" t="n"/>
      <c r="E730" s="1" t="n"/>
      <c r="F730" s="1" t="n"/>
      <c r="G730" s="1" t="n"/>
      <c r="H730" s="1" t="n"/>
      <c r="I730" s="1" t="n"/>
      <c r="J730" s="1" t="n"/>
      <c r="K730" s="241" t="n"/>
      <c r="L730" s="16" t="n"/>
      <c r="M730" s="16" t="n"/>
      <c r="N730" s="16" t="n"/>
      <c r="O730" s="16" t="n"/>
      <c r="P730" s="16" t="n"/>
      <c r="Q730" s="16" t="n"/>
      <c r="R730" s="16" t="n"/>
      <c r="S730" s="16" t="n"/>
      <c r="T730" s="16" t="n"/>
      <c r="U730" s="16" t="n"/>
      <c r="V730" s="16" t="n"/>
      <c r="W730" s="16" t="n"/>
      <c r="X730" s="16" t="n"/>
      <c r="Y730" s="16" t="n"/>
      <c r="Z730" s="16" t="n"/>
    </row>
    <row r="731" ht="12.75" customHeight="1" s="588">
      <c r="A731" s="241" t="n"/>
      <c r="B731" s="664" t="n"/>
      <c r="C731" s="593" t="n"/>
      <c r="D731" s="594" t="n"/>
      <c r="E731" s="699" t="n"/>
      <c r="F731" s="594" t="n"/>
      <c r="G731" s="699" t="n"/>
      <c r="H731" s="594" t="n"/>
      <c r="I731" s="699" t="n"/>
      <c r="J731" s="594" t="n"/>
      <c r="K731" s="241" t="n"/>
      <c r="L731" s="16" t="n"/>
      <c r="M731" s="16" t="n"/>
      <c r="N731" s="16" t="n"/>
      <c r="O731" s="16" t="n"/>
      <c r="P731" s="16" t="n"/>
      <c r="Q731" s="16" t="n"/>
      <c r="R731" s="16" t="n"/>
      <c r="S731" s="16" t="n"/>
      <c r="T731" s="16" t="n"/>
      <c r="U731" s="16" t="n"/>
      <c r="V731" s="16" t="n"/>
      <c r="W731" s="16" t="n"/>
      <c r="X731" s="16" t="n"/>
      <c r="Y731" s="16" t="n"/>
      <c r="Z731" s="16" t="n"/>
    </row>
    <row r="732" ht="12.75" customHeight="1" s="588">
      <c r="A732" s="241" t="n"/>
      <c r="B732" s="595" t="n"/>
      <c r="D732" s="596" t="n"/>
      <c r="E732" s="595" t="n"/>
      <c r="F732" s="596" t="n"/>
      <c r="G732" s="595" t="n"/>
      <c r="H732" s="596" t="n"/>
      <c r="I732" s="595" t="n"/>
      <c r="J732" s="596" t="n"/>
      <c r="K732" s="241" t="n"/>
      <c r="L732" s="16" t="n"/>
      <c r="M732" s="16" t="n"/>
      <c r="N732" s="16" t="n"/>
      <c r="O732" s="16" t="n"/>
      <c r="P732" s="16" t="n"/>
      <c r="Q732" s="16" t="n"/>
      <c r="R732" s="16" t="n"/>
      <c r="S732" s="16" t="n"/>
      <c r="T732" s="16" t="n"/>
      <c r="U732" s="16" t="n"/>
      <c r="V732" s="16" t="n"/>
      <c r="W732" s="16" t="n"/>
      <c r="X732" s="16" t="n"/>
      <c r="Y732" s="16" t="n"/>
      <c r="Z732" s="16" t="n"/>
    </row>
    <row r="733" ht="12.75" customHeight="1" s="588">
      <c r="A733" s="241" t="n"/>
      <c r="B733" s="595" t="n"/>
      <c r="D733" s="596" t="n"/>
      <c r="E733" s="595" t="n"/>
      <c r="F733" s="596" t="n"/>
      <c r="G733" s="595" t="n"/>
      <c r="H733" s="596" t="n"/>
      <c r="I733" s="595" t="n"/>
      <c r="J733" s="596" t="n"/>
      <c r="K733" s="241" t="n"/>
      <c r="L733" s="16" t="n"/>
      <c r="M733" s="16" t="n"/>
      <c r="N733" s="16" t="n"/>
      <c r="O733" s="16" t="n"/>
      <c r="P733" s="16" t="n"/>
      <c r="Q733" s="16" t="n"/>
      <c r="R733" s="16" t="n"/>
      <c r="S733" s="16" t="n"/>
      <c r="T733" s="16" t="n"/>
      <c r="U733" s="16" t="n"/>
      <c r="V733" s="16" t="n"/>
      <c r="W733" s="16" t="n"/>
      <c r="X733" s="16" t="n"/>
      <c r="Y733" s="16" t="n"/>
      <c r="Z733" s="16" t="n"/>
    </row>
    <row r="734" ht="12.75" customHeight="1" s="588">
      <c r="A734" s="241" t="n"/>
      <c r="B734" s="597" t="n"/>
      <c r="C734" s="598" t="n"/>
      <c r="D734" s="599" t="n"/>
      <c r="E734" s="597" t="n"/>
      <c r="F734" s="599" t="n"/>
      <c r="G734" s="597" t="n"/>
      <c r="H734" s="599" t="n"/>
      <c r="I734" s="597" t="n"/>
      <c r="J734" s="599" t="n"/>
      <c r="K734" s="241" t="n"/>
      <c r="L734" s="16" t="n"/>
      <c r="M734" s="16" t="n"/>
      <c r="N734" s="16" t="n"/>
      <c r="O734" s="16" t="n"/>
      <c r="P734" s="16" t="n"/>
      <c r="Q734" s="16" t="n"/>
      <c r="R734" s="16" t="n"/>
      <c r="S734" s="16" t="n"/>
      <c r="T734" s="16" t="n"/>
      <c r="U734" s="16" t="n"/>
      <c r="V734" s="16" t="n"/>
      <c r="W734" s="16" t="n"/>
      <c r="X734" s="16" t="n"/>
      <c r="Y734" s="16" t="n"/>
      <c r="Z734" s="16" t="n"/>
    </row>
    <row r="735" ht="12.75" customHeight="1" s="588">
      <c r="A735" s="241" t="n"/>
      <c r="B735" s="241" t="n"/>
      <c r="C735" s="241" t="n"/>
      <c r="D735" s="241" t="n"/>
      <c r="E735" s="241" t="n"/>
      <c r="F735" s="241" t="n"/>
      <c r="G735" s="241" t="n"/>
      <c r="H735" s="241" t="n"/>
      <c r="I735" s="241" t="n"/>
      <c r="J735" s="241" t="n"/>
      <c r="K735" s="241" t="n"/>
      <c r="L735" s="16" t="n"/>
      <c r="M735" s="16" t="n"/>
      <c r="N735" s="16" t="n"/>
      <c r="O735" s="16" t="n"/>
      <c r="P735" s="16" t="n"/>
      <c r="Q735" s="16" t="n"/>
      <c r="R735" s="16" t="n"/>
      <c r="S735" s="16" t="n"/>
      <c r="T735" s="16" t="n"/>
      <c r="U735" s="16" t="n"/>
      <c r="V735" s="16" t="n"/>
      <c r="W735" s="16" t="n"/>
      <c r="X735" s="16" t="n"/>
      <c r="Y735" s="16" t="n"/>
      <c r="Z735" s="16" t="n"/>
    </row>
    <row r="736" ht="12.75" customHeight="1" s="588">
      <c r="A736" s="241" t="n"/>
      <c r="B736" s="241" t="n"/>
      <c r="C736" s="241" t="n"/>
      <c r="D736" s="241" t="n"/>
      <c r="E736" s="241" t="n"/>
      <c r="F736" s="241" t="n"/>
      <c r="G736" s="241" t="n"/>
      <c r="H736" s="241" t="n"/>
      <c r="I736" s="241" t="n"/>
      <c r="J736" s="241" t="n"/>
      <c r="K736" s="241" t="n"/>
      <c r="L736" s="16" t="n"/>
      <c r="M736" s="16" t="n"/>
      <c r="N736" s="16" t="n"/>
      <c r="O736" s="16" t="n"/>
      <c r="P736" s="16" t="n"/>
      <c r="Q736" s="16" t="n"/>
      <c r="R736" s="16" t="n"/>
      <c r="S736" s="16" t="n"/>
      <c r="T736" s="16" t="n"/>
      <c r="U736" s="16" t="n"/>
      <c r="V736" s="16" t="n"/>
      <c r="W736" s="16" t="n"/>
      <c r="X736" s="16" t="n"/>
      <c r="Y736" s="16" t="n"/>
      <c r="Z736" s="16" t="n"/>
    </row>
    <row r="737" ht="12.75" customHeight="1" s="588">
      <c r="A737" s="1" t="n"/>
      <c r="B737" s="1" t="n"/>
      <c r="C737" s="1" t="n"/>
      <c r="D737" s="1" t="n"/>
      <c r="E737" s="1" t="n"/>
      <c r="F737" s="1" t="n"/>
      <c r="G737" s="1" t="n"/>
      <c r="H737" s="1" t="n"/>
      <c r="I737" s="1" t="n"/>
      <c r="J737" s="1" t="n"/>
      <c r="K737" s="1" t="n"/>
      <c r="L737" s="16" t="n"/>
      <c r="M737" s="16" t="n"/>
      <c r="N737" s="16" t="n"/>
      <c r="O737" s="16" t="n"/>
      <c r="P737" s="16" t="n"/>
      <c r="Q737" s="16" t="n"/>
      <c r="R737" s="16" t="n"/>
      <c r="S737" s="16" t="n"/>
      <c r="T737" s="16" t="n"/>
      <c r="U737" s="16" t="n"/>
      <c r="V737" s="16" t="n"/>
      <c r="W737" s="16" t="n"/>
      <c r="X737" s="16" t="n"/>
      <c r="Y737" s="16" t="n"/>
      <c r="Z737" s="16" t="n"/>
    </row>
    <row r="738" ht="12.75" customHeight="1" s="588">
      <c r="A738" s="1" t="n"/>
      <c r="B738" s="1" t="n"/>
      <c r="C738" s="1" t="n"/>
      <c r="D738" s="1" t="n"/>
      <c r="E738" s="1" t="n"/>
      <c r="F738" s="1" t="n"/>
      <c r="G738" s="1" t="n"/>
      <c r="H738" s="1" t="n"/>
      <c r="I738" s="1" t="n"/>
      <c r="J738" s="1" t="n"/>
      <c r="K738" s="1" t="n"/>
      <c r="L738" s="16" t="n"/>
      <c r="M738" s="16" t="n"/>
      <c r="N738" s="16" t="n"/>
      <c r="O738" s="16" t="n"/>
      <c r="P738" s="16" t="n"/>
      <c r="Q738" s="16" t="n"/>
      <c r="R738" s="16" t="n"/>
      <c r="S738" s="16" t="n"/>
      <c r="T738" s="16" t="n"/>
      <c r="U738" s="16" t="n"/>
      <c r="V738" s="16" t="n"/>
      <c r="W738" s="16" t="n"/>
      <c r="X738" s="16" t="n"/>
      <c r="Y738" s="16" t="n"/>
      <c r="Z738" s="16" t="n"/>
    </row>
    <row r="739" ht="12.75" customHeight="1" s="588">
      <c r="A739" s="8" t="inlineStr">
        <is>
          <t>¿CÓMO?</t>
        </is>
      </c>
      <c r="B739" s="1" t="n"/>
      <c r="C739" s="1" t="n"/>
      <c r="D739" s="1" t="n"/>
      <c r="E739" s="1" t="n"/>
      <c r="F739" s="1" t="n"/>
      <c r="G739" s="1" t="n"/>
      <c r="H739" s="1" t="n"/>
      <c r="I739" s="1" t="n"/>
      <c r="J739" s="1" t="n"/>
      <c r="K739" s="185" t="inlineStr">
        <is>
          <t>Plan de Innovación y Sostenibilidad</t>
        </is>
      </c>
      <c r="L739" s="16" t="n"/>
      <c r="M739" s="16" t="n"/>
      <c r="N739" s="16" t="n"/>
      <c r="O739" s="16" t="n"/>
      <c r="P739" s="16" t="n"/>
      <c r="Q739" s="16" t="n"/>
      <c r="R739" s="16" t="n"/>
      <c r="S739" s="16" t="n"/>
      <c r="T739" s="16" t="n"/>
      <c r="U739" s="16" t="n"/>
      <c r="V739" s="16" t="n"/>
      <c r="W739" s="16" t="n"/>
      <c r="X739" s="16" t="n"/>
      <c r="Y739" s="16" t="n"/>
      <c r="Z739" s="16" t="n"/>
    </row>
    <row r="740" ht="12.75" customHeight="1" s="588">
      <c r="A740" s="1" t="n"/>
      <c r="B740" s="1" t="n"/>
      <c r="C740" s="1" t="n"/>
      <c r="D740" s="1" t="n"/>
      <c r="E740" s="1" t="n"/>
      <c r="F740" s="1" t="n"/>
      <c r="G740" s="1" t="n"/>
      <c r="H740" s="1" t="n"/>
      <c r="I740" s="1" t="n"/>
      <c r="J740" s="1" t="n"/>
      <c r="K740" s="1" t="n"/>
      <c r="L740" s="16" t="n"/>
      <c r="M740" s="16" t="n"/>
      <c r="N740" s="16" t="n"/>
      <c r="O740" s="16" t="n"/>
      <c r="P740" s="16" t="n"/>
      <c r="Q740" s="16" t="n"/>
      <c r="R740" s="16" t="n"/>
      <c r="S740" s="16" t="n"/>
      <c r="T740" s="16" t="n"/>
      <c r="U740" s="16" t="n"/>
      <c r="V740" s="16" t="n"/>
      <c r="W740" s="16" t="n"/>
      <c r="X740" s="16" t="n"/>
      <c r="Y740" s="16" t="n"/>
      <c r="Z740" s="16" t="n"/>
    </row>
    <row r="741" ht="22.5" customHeight="1" s="588">
      <c r="A741" s="1" t="n"/>
      <c r="B741" s="1" t="n"/>
      <c r="C741" s="1" t="n"/>
      <c r="D741" s="1" t="n"/>
      <c r="E741" s="1" t="n"/>
      <c r="F741" s="130" t="inlineStr">
        <is>
          <t>Protección del Medioambiente en la Idea de Negocio</t>
        </is>
      </c>
      <c r="G741" s="1" t="n"/>
      <c r="H741" s="1" t="n"/>
      <c r="I741" s="1" t="n"/>
      <c r="J741" s="1" t="n"/>
      <c r="K741" s="1" t="n"/>
      <c r="L741" s="16" t="n"/>
      <c r="M741" s="16" t="n"/>
      <c r="N741" s="16" t="n"/>
      <c r="O741" s="16" t="n"/>
      <c r="P741" s="16" t="n"/>
      <c r="Q741" s="16" t="n"/>
      <c r="R741" s="16" t="n"/>
      <c r="S741" s="16" t="n"/>
      <c r="T741" s="16" t="n"/>
      <c r="U741" s="16" t="n"/>
      <c r="V741" s="16" t="n"/>
      <c r="W741" s="16" t="n"/>
      <c r="X741" s="16" t="n"/>
      <c r="Y741" s="16" t="n"/>
      <c r="Z741" s="16" t="n"/>
    </row>
    <row r="742" ht="12.75" customHeight="1" s="588">
      <c r="A742" s="696" t="inlineStr">
        <is>
          <t>PROTECCIÓN DEL MEDIOAMBIENTE EN LA IDEA DE NEGOCIO
La huella directa de la actividad es baja (un puesto de trabajo en coworking, sin producción física ni logística), pero existe y es gestionable:
1. HOSTING CON ENERGÍA RENOVABLE. Seleccionar proveedor de hosting con compromiso verificable de energía renovable. Es un criterio de compra real para bodegas con certificación de sostenibilidad y para clientes del sector público.
2. WEBS EFICIENTES. Optimizar imágenes, reducir peso de página y limitar scripts de terceros. Una web ligera consume menos energía, carga más rápido, posiciona mejor y convierte más: el argumento ambiental y el comercial coinciden.
3. USO RESPONSABLE DE IA GENERATIVA. Los modelos generativos tienen coste energético. Se usan de forma deliberada (borradores y variantes), no como generador indiscriminado.
4. OFICINA SIN PAPEL. Contratos y facturas electrónicas, firma digital, cero archivo físico. Coherente además con la obligación de factura electrónica B2B.
5. EQUIPO INFORMÁTICO. Alargar la vida útil del hardware y entregarlo a gestor autorizado de RAEE al final de su vida.
6. MOVILIDAD. Agrupar las visitas comerciales por zonas de la comarca para reducir desplazamientos, y usar videollamada cuando la reunión no aporte valor presencial.</t>
        </is>
      </c>
      <c r="B742" s="593" t="n"/>
      <c r="C742" s="593" t="n"/>
      <c r="D742" s="593" t="n"/>
      <c r="E742" s="593" t="n"/>
      <c r="F742" s="593" t="n"/>
      <c r="G742" s="593" t="n"/>
      <c r="H742" s="593" t="n"/>
      <c r="I742" s="593" t="n"/>
      <c r="J742" s="593" t="n"/>
      <c r="K742" s="594" t="n"/>
      <c r="L742" s="16" t="n"/>
      <c r="M742" s="16" t="n"/>
      <c r="N742" s="16" t="n"/>
      <c r="O742" s="16" t="n"/>
      <c r="P742" s="16" t="n"/>
      <c r="Q742" s="16" t="n"/>
      <c r="R742" s="16" t="n"/>
      <c r="S742" s="16" t="n"/>
      <c r="T742" s="16" t="n"/>
      <c r="U742" s="16" t="n"/>
      <c r="V742" s="16" t="n"/>
      <c r="W742" s="16" t="n"/>
      <c r="X742" s="16" t="n"/>
      <c r="Y742" s="16" t="n"/>
      <c r="Z742" s="16" t="n"/>
    </row>
    <row r="743" ht="12.75" customHeight="1" s="588">
      <c r="A743" s="595" t="n"/>
      <c r="K743" s="596" t="n"/>
      <c r="L743" s="16" t="n"/>
      <c r="M743" s="16" t="n"/>
      <c r="N743" s="16" t="n"/>
      <c r="O743" s="16" t="n"/>
      <c r="P743" s="16" t="n"/>
      <c r="Q743" s="16" t="n"/>
      <c r="R743" s="16" t="n"/>
      <c r="S743" s="16" t="n"/>
      <c r="T743" s="16" t="n"/>
      <c r="U743" s="16" t="n"/>
      <c r="V743" s="16" t="n"/>
      <c r="W743" s="16" t="n"/>
      <c r="X743" s="16" t="n"/>
      <c r="Y743" s="16" t="n"/>
      <c r="Z743" s="16" t="n"/>
    </row>
    <row r="744" ht="12.75" customHeight="1" s="588">
      <c r="A744" s="595" t="n"/>
      <c r="K744" s="596" t="n"/>
      <c r="L744" s="16" t="n"/>
      <c r="M744" s="16" t="n"/>
      <c r="N744" s="16" t="n"/>
      <c r="O744" s="16" t="n"/>
      <c r="P744" s="16" t="n"/>
      <c r="Q744" s="16" t="n"/>
      <c r="R744" s="16" t="n"/>
      <c r="S744" s="16" t="n"/>
      <c r="T744" s="16" t="n"/>
      <c r="U744" s="16" t="n"/>
      <c r="V744" s="16" t="n"/>
      <c r="W744" s="16" t="n"/>
      <c r="X744" s="16" t="n"/>
      <c r="Y744" s="16" t="n"/>
      <c r="Z744" s="16" t="n"/>
    </row>
    <row r="745" ht="12.75" customHeight="1" s="588">
      <c r="A745" s="595" t="n"/>
      <c r="K745" s="596" t="n"/>
      <c r="L745" s="16" t="n"/>
      <c r="M745" s="16" t="n"/>
      <c r="N745" s="16" t="n"/>
      <c r="O745" s="16" t="n"/>
      <c r="P745" s="16" t="n"/>
      <c r="Q745" s="16" t="n"/>
      <c r="R745" s="16" t="n"/>
      <c r="S745" s="16" t="n"/>
      <c r="T745" s="16" t="n"/>
      <c r="U745" s="16" t="n"/>
      <c r="V745" s="16" t="n"/>
      <c r="W745" s="16" t="n"/>
      <c r="X745" s="16" t="n"/>
      <c r="Y745" s="16" t="n"/>
      <c r="Z745" s="16" t="n"/>
    </row>
    <row r="746" ht="12.75" customHeight="1" s="588">
      <c r="A746" s="595" t="n"/>
      <c r="K746" s="596" t="n"/>
      <c r="L746" s="16" t="n"/>
      <c r="M746" s="16" t="n"/>
      <c r="N746" s="16" t="n"/>
      <c r="O746" s="16" t="n"/>
      <c r="P746" s="16" t="n"/>
      <c r="Q746" s="16" t="n"/>
      <c r="R746" s="16" t="n"/>
      <c r="S746" s="16" t="n"/>
      <c r="T746" s="16" t="n"/>
      <c r="U746" s="16" t="n"/>
      <c r="V746" s="16" t="n"/>
      <c r="W746" s="16" t="n"/>
      <c r="X746" s="16" t="n"/>
      <c r="Y746" s="16" t="n"/>
      <c r="Z746" s="16" t="n"/>
    </row>
    <row r="747" ht="12.75" customHeight="1" s="588">
      <c r="A747" s="595" t="n"/>
      <c r="K747" s="596" t="n"/>
      <c r="L747" s="16" t="n"/>
      <c r="M747" s="16" t="n"/>
      <c r="N747" s="16" t="n"/>
      <c r="O747" s="16" t="n"/>
      <c r="P747" s="16" t="n"/>
      <c r="Q747" s="16" t="n"/>
      <c r="R747" s="16" t="n"/>
      <c r="S747" s="16" t="n"/>
      <c r="T747" s="16" t="n"/>
      <c r="U747" s="16" t="n"/>
      <c r="V747" s="16" t="n"/>
      <c r="W747" s="16" t="n"/>
      <c r="X747" s="16" t="n"/>
      <c r="Y747" s="16" t="n"/>
      <c r="Z747" s="16" t="n"/>
    </row>
    <row r="748" ht="12.75" customHeight="1" s="588">
      <c r="A748" s="595" t="n"/>
      <c r="K748" s="596" t="n"/>
    </row>
    <row r="749" ht="12.75" customHeight="1" s="588">
      <c r="A749" s="595" t="n"/>
      <c r="K749" s="596" t="n"/>
    </row>
    <row r="750" ht="12.75" customHeight="1" s="588">
      <c r="A750" s="595" t="n"/>
      <c r="K750" s="596" t="n"/>
    </row>
    <row r="751" ht="12.75" customHeight="1" s="588">
      <c r="A751" s="595" t="n"/>
      <c r="K751" s="596" t="n"/>
    </row>
    <row r="752" ht="12.75" customHeight="1" s="588">
      <c r="A752" s="595" t="n"/>
      <c r="K752" s="596" t="n"/>
    </row>
    <row r="753" ht="12.75" customHeight="1" s="588">
      <c r="A753" s="595" t="n"/>
      <c r="K753" s="596" t="n"/>
    </row>
    <row r="754" ht="12.75" customHeight="1" s="588">
      <c r="A754" s="595" t="n"/>
      <c r="K754" s="596" t="n"/>
      <c r="L754" s="16" t="n"/>
      <c r="M754" s="16" t="n"/>
      <c r="N754" s="16" t="n"/>
      <c r="O754" s="16" t="n"/>
      <c r="P754" s="16" t="n"/>
      <c r="Q754" s="16" t="n"/>
      <c r="R754" s="16" t="n"/>
      <c r="S754" s="16" t="n"/>
      <c r="T754" s="16" t="n"/>
      <c r="U754" s="16" t="n"/>
      <c r="V754" s="16" t="n"/>
      <c r="W754" s="16" t="n"/>
      <c r="X754" s="16" t="n"/>
      <c r="Y754" s="16" t="n"/>
      <c r="Z754" s="16" t="n"/>
    </row>
    <row r="755" ht="12.75" customHeight="1" s="588">
      <c r="A755" s="595" t="n"/>
      <c r="K755" s="596" t="n"/>
      <c r="L755" s="16" t="n"/>
      <c r="M755" s="16" t="n"/>
      <c r="N755" s="16" t="n"/>
      <c r="O755" s="16" t="n"/>
      <c r="P755" s="16" t="n"/>
      <c r="Q755" s="16" t="n"/>
      <c r="R755" s="16" t="n"/>
      <c r="S755" s="16" t="n"/>
      <c r="T755" s="16" t="n"/>
      <c r="U755" s="16" t="n"/>
      <c r="V755" s="16" t="n"/>
      <c r="W755" s="16" t="n"/>
      <c r="X755" s="16" t="n"/>
      <c r="Y755" s="16" t="n"/>
      <c r="Z755" s="16" t="n"/>
    </row>
    <row r="756" ht="12.75" customHeight="1" s="588">
      <c r="A756" s="595" t="n"/>
      <c r="K756" s="596" t="n"/>
    </row>
    <row r="757" ht="12.75" customHeight="1" s="588">
      <c r="A757" s="595" t="n"/>
      <c r="K757" s="596" t="n"/>
    </row>
    <row r="758" ht="12.75" customHeight="1" s="588">
      <c r="A758" s="595" t="n"/>
      <c r="K758" s="596" t="n"/>
    </row>
    <row r="759" ht="12.75" customHeight="1" s="588">
      <c r="A759" s="595" t="n"/>
      <c r="K759" s="596" t="n"/>
    </row>
    <row r="760" ht="12.75" customHeight="1" s="588">
      <c r="A760" s="595" t="n"/>
      <c r="K760" s="596" t="n"/>
    </row>
    <row r="761" ht="12.75" customHeight="1" s="588">
      <c r="A761" s="595" t="n"/>
      <c r="K761" s="596" t="n"/>
    </row>
    <row r="762" ht="12.75" customHeight="1" s="588">
      <c r="A762" s="595" t="n"/>
      <c r="K762" s="596" t="n"/>
    </row>
    <row r="763" ht="12.75" customHeight="1" s="588">
      <c r="A763" s="595" t="n"/>
      <c r="K763" s="596" t="n"/>
    </row>
    <row r="764" ht="12.75" customHeight="1" s="588">
      <c r="A764" s="595" t="n"/>
      <c r="K764" s="596" t="n"/>
    </row>
    <row r="765" ht="12.75" customHeight="1" s="588">
      <c r="A765" s="595" t="n"/>
      <c r="K765" s="596" t="n"/>
    </row>
    <row r="766" ht="12.75" customHeight="1" s="588">
      <c r="A766" s="595" t="n"/>
      <c r="K766" s="596" t="n"/>
    </row>
    <row r="767" ht="12.75" customHeight="1" s="588">
      <c r="A767" s="595" t="n"/>
      <c r="K767" s="596" t="n"/>
    </row>
    <row r="768" ht="12.75" customHeight="1" s="588">
      <c r="A768" s="595" t="n"/>
      <c r="K768" s="596" t="n"/>
    </row>
    <row r="769" ht="12.75" customHeight="1" s="588">
      <c r="A769" s="595" t="n"/>
      <c r="K769" s="596" t="n"/>
    </row>
    <row r="770" ht="12.75" customHeight="1" s="588">
      <c r="A770" s="595" t="n"/>
      <c r="K770" s="596" t="n"/>
    </row>
    <row r="771" ht="12.75" customHeight="1" s="588">
      <c r="A771" s="595" t="n"/>
      <c r="K771" s="596" t="n"/>
    </row>
    <row r="772" ht="12.75" customHeight="1" s="588">
      <c r="A772" s="597" t="n"/>
      <c r="B772" s="598" t="n"/>
      <c r="C772" s="598" t="n"/>
      <c r="D772" s="598" t="n"/>
      <c r="E772" s="598" t="n"/>
      <c r="F772" s="598" t="n"/>
      <c r="G772" s="598" t="n"/>
      <c r="H772" s="598" t="n"/>
      <c r="I772" s="598" t="n"/>
      <c r="J772" s="598" t="n"/>
      <c r="K772" s="599" t="n"/>
    </row>
    <row r="773" ht="12.75" customHeight="1" s="588">
      <c r="A773" s="1" t="n"/>
      <c r="B773" s="1" t="n"/>
      <c r="C773" s="1" t="n"/>
      <c r="D773" s="1" t="n"/>
      <c r="E773" s="1" t="n"/>
      <c r="F773" s="1" t="n"/>
      <c r="G773" s="1" t="n"/>
      <c r="H773" s="1" t="n"/>
      <c r="I773" s="1" t="n"/>
      <c r="J773" s="1" t="n"/>
      <c r="K773" s="1" t="n"/>
    </row>
    <row r="774" ht="12.75" customHeight="1" s="588">
      <c r="A774" s="1" t="n"/>
      <c r="B774" s="1" t="n"/>
      <c r="C774" s="1" t="n"/>
      <c r="D774" s="1" t="n"/>
      <c r="E774" s="1" t="n"/>
      <c r="F774" s="1" t="n"/>
      <c r="G774" s="1" t="n"/>
      <c r="H774" s="1" t="n"/>
      <c r="I774" s="1" t="n"/>
      <c r="J774" s="1" t="n"/>
      <c r="K774" s="1" t="n"/>
      <c r="L774" s="16" t="n"/>
    </row>
    <row r="775" ht="12.75" customHeight="1" s="588">
      <c r="A775" s="8" t="inlineStr">
        <is>
          <t>¿CÓMO?</t>
        </is>
      </c>
      <c r="B775" s="1" t="n"/>
      <c r="C775" s="1" t="n"/>
      <c r="D775" s="1" t="n"/>
      <c r="E775" s="1" t="n"/>
      <c r="F775" s="1" t="n"/>
      <c r="G775" s="1" t="n"/>
      <c r="H775" s="1" t="n"/>
      <c r="I775" s="1" t="n"/>
      <c r="J775" s="1" t="n"/>
      <c r="K775" s="185" t="n"/>
      <c r="L775" s="16" t="n"/>
      <c r="M775" s="16" t="n"/>
      <c r="N775" s="16" t="n"/>
      <c r="O775" s="16" t="n"/>
      <c r="P775" s="16" t="n"/>
      <c r="Q775" s="16" t="n"/>
      <c r="R775" s="16" t="n"/>
      <c r="S775" s="16" t="n"/>
      <c r="T775" s="16" t="n"/>
      <c r="U775" s="16" t="n"/>
      <c r="V775" s="16" t="n"/>
      <c r="W775" s="16" t="n"/>
      <c r="X775" s="16" t="n"/>
      <c r="Y775" s="16" t="n"/>
      <c r="Z775" s="16" t="n"/>
    </row>
    <row r="776" ht="12.75" customHeight="1" s="588">
      <c r="A776" s="1" t="n"/>
      <c r="B776" s="1" t="n"/>
      <c r="C776" s="1" t="n"/>
      <c r="D776" s="1" t="n"/>
      <c r="E776" s="1" t="n"/>
      <c r="F776" s="1" t="n"/>
      <c r="G776" s="1" t="n"/>
      <c r="H776" s="1" t="n"/>
      <c r="I776" s="1" t="n"/>
      <c r="J776" s="1" t="n"/>
      <c r="K776" s="1" t="n"/>
      <c r="L776" s="16" t="n"/>
      <c r="M776" s="16" t="n"/>
      <c r="N776" s="16" t="n"/>
      <c r="O776" s="16" t="n"/>
      <c r="P776" s="16" t="n"/>
      <c r="Q776" s="16" t="n"/>
      <c r="R776" s="16" t="n"/>
      <c r="S776" s="16" t="n"/>
      <c r="T776" s="16" t="n"/>
      <c r="U776" s="16" t="n"/>
      <c r="V776" s="16" t="n"/>
      <c r="W776" s="16" t="n"/>
      <c r="X776" s="16" t="n"/>
      <c r="Y776" s="16" t="n"/>
      <c r="Z776" s="16" t="n"/>
    </row>
    <row r="777" ht="12.75" customHeight="1" s="588">
      <c r="A777" s="1" t="n"/>
      <c r="B777" s="1" t="n"/>
      <c r="C777" s="1" t="n"/>
      <c r="D777" s="1" t="n"/>
      <c r="E777" s="1" t="n"/>
      <c r="F777" s="1" t="n"/>
      <c r="G777" s="1" t="n"/>
      <c r="H777" s="1" t="n"/>
      <c r="I777" s="1" t="n"/>
      <c r="J777" s="1" t="n"/>
      <c r="K777" s="1" t="n"/>
      <c r="L777" s="16" t="n"/>
      <c r="M777" s="16" t="n"/>
      <c r="N777" s="16" t="n"/>
      <c r="O777" s="16" t="n"/>
      <c r="P777" s="16" t="n"/>
      <c r="Q777" s="16" t="n"/>
      <c r="R777" s="16" t="n"/>
      <c r="S777" s="16" t="n"/>
      <c r="T777" s="16" t="n"/>
      <c r="U777" s="16" t="n"/>
      <c r="V777" s="16" t="n"/>
      <c r="W777" s="16" t="n"/>
      <c r="X777" s="16" t="n"/>
      <c r="Y777" s="16" t="n"/>
      <c r="Z777" s="16" t="n"/>
    </row>
    <row r="778" ht="24.75" customHeight="1" s="588">
      <c r="A778" s="1" t="n"/>
      <c r="B778" s="1" t="n"/>
      <c r="C778" s="1" t="n"/>
      <c r="D778" s="1" t="n"/>
      <c r="E778" s="1" t="n"/>
      <c r="F778" s="62" t="inlineStr">
        <is>
          <t>RESUMEN</t>
        </is>
      </c>
      <c r="G778" s="1" t="n"/>
      <c r="H778" s="1" t="n"/>
      <c r="I778" s="1" t="n"/>
      <c r="J778" s="1" t="n"/>
      <c r="K778" s="1" t="n"/>
      <c r="L778" s="16" t="n"/>
    </row>
    <row r="779" ht="12.75" customHeight="1" s="588">
      <c r="A779" s="1" t="n"/>
      <c r="B779" s="1" t="n"/>
      <c r="C779" s="1" t="n"/>
      <c r="D779" s="1" t="n"/>
      <c r="E779" s="1" t="n"/>
      <c r="F779" s="1" t="n"/>
      <c r="G779" s="1" t="n"/>
      <c r="H779" s="1" t="n"/>
      <c r="I779" s="1" t="n"/>
      <c r="J779" s="1" t="n"/>
      <c r="K779" s="1" t="n"/>
      <c r="L779" s="16" t="n"/>
    </row>
    <row r="780" ht="12.75" customHeight="1" s="588">
      <c r="A780" s="1" t="n"/>
      <c r="B780" s="1" t="n"/>
      <c r="C780" s="1" t="n"/>
      <c r="D780" s="1" t="n"/>
      <c r="E780" s="1" t="n"/>
      <c r="F780" s="1" t="n"/>
      <c r="G780" s="1" t="n"/>
      <c r="H780" s="1" t="n"/>
      <c r="I780" s="1" t="n"/>
      <c r="J780" s="1" t="n"/>
      <c r="K780" s="1" t="n"/>
      <c r="L780" s="16" t="n"/>
    </row>
    <row r="781" ht="12.75" customHeight="1" s="588">
      <c r="A781" s="1" t="n"/>
      <c r="B781" s="1" t="n"/>
      <c r="C781" s="1" t="n"/>
      <c r="D781" s="1" t="n"/>
      <c r="E781" s="1" t="n"/>
      <c r="F781" s="1" t="n"/>
      <c r="G781" s="1" t="n"/>
      <c r="H781" s="1" t="n"/>
      <c r="I781" s="1" t="n"/>
      <c r="J781" s="1" t="n"/>
      <c r="K781" s="1" t="n"/>
      <c r="L781" s="16" t="n"/>
    </row>
    <row r="782" ht="12.75" customHeight="1" s="588">
      <c r="A782" s="1" t="n"/>
      <c r="B782" s="1" t="n"/>
      <c r="C782" s="1" t="n"/>
      <c r="D782" s="1" t="n"/>
      <c r="E782" s="1" t="n"/>
      <c r="F782" s="1" t="n"/>
      <c r="G782" s="1" t="n"/>
      <c r="H782" s="1" t="n"/>
      <c r="I782" s="1" t="n"/>
      <c r="J782" s="1" t="n"/>
      <c r="K782" s="1" t="n"/>
      <c r="L782" s="16" t="n"/>
    </row>
    <row r="783" ht="12.75" customHeight="1" s="588">
      <c r="A783" s="1" t="n"/>
      <c r="B783" s="1" t="n"/>
      <c r="C783" s="1" t="n"/>
      <c r="D783" s="1" t="n"/>
      <c r="E783" s="1" t="n"/>
      <c r="F783" s="1" t="n"/>
      <c r="G783" s="1" t="n"/>
      <c r="H783" s="1" t="n"/>
      <c r="I783" s="1" t="n"/>
      <c r="J783" s="1" t="n"/>
      <c r="K783" s="1" t="n"/>
      <c r="L783" s="16" t="n"/>
    </row>
    <row r="784" ht="12.75" customHeight="1" s="588">
      <c r="A784" s="1" t="n"/>
      <c r="B784" s="1" t="n"/>
      <c r="C784" s="1" t="n"/>
      <c r="D784" s="1" t="n"/>
      <c r="E784" s="1" t="n"/>
      <c r="F784" s="1" t="n"/>
      <c r="G784" s="1" t="n"/>
      <c r="H784" s="1" t="n"/>
      <c r="I784" s="1" t="n"/>
      <c r="J784" s="1" t="n"/>
      <c r="K784" s="1" t="n"/>
      <c r="L784" s="16" t="n"/>
    </row>
    <row r="785" ht="12.75" customHeight="1" s="588">
      <c r="A785" s="1" t="n"/>
      <c r="B785" s="1" t="n"/>
      <c r="C785" s="1" t="n"/>
      <c r="D785" s="1" t="n"/>
      <c r="E785" s="1" t="n"/>
      <c r="F785" s="1" t="n"/>
      <c r="G785" s="1" t="n"/>
      <c r="H785" s="1" t="n"/>
      <c r="I785" s="1" t="n"/>
      <c r="J785" s="1" t="n"/>
      <c r="K785" s="1" t="n"/>
      <c r="L785" s="16" t="n"/>
    </row>
    <row r="786" ht="12.75" customHeight="1" s="588">
      <c r="A786" s="1" t="n"/>
      <c r="B786" s="1" t="n"/>
      <c r="C786" s="666" t="inlineStr">
        <is>
          <t>Sociedad Limitada con dos socios promotores retribuidos</t>
        </is>
      </c>
      <c r="D786" s="610" t="n"/>
      <c r="E786" s="610" t="n"/>
      <c r="F786" s="610" t="n"/>
      <c r="G786" s="610" t="n"/>
      <c r="H786" s="610" t="n"/>
      <c r="I786" s="610" t="n"/>
      <c r="J786" s="611" t="n"/>
      <c r="K786" s="1" t="n"/>
      <c r="L786" s="16" t="n"/>
    </row>
    <row r="787" ht="12.75" customHeight="1" s="588">
      <c r="A787" s="1" t="n"/>
      <c r="B787" s="1" t="n"/>
      <c r="C787" s="612" t="n"/>
      <c r="J787" s="613" t="n"/>
      <c r="K787" s="1" t="n"/>
      <c r="L787" s="16" t="n"/>
    </row>
    <row r="788" ht="12.75" customHeight="1" s="588">
      <c r="A788" s="1" t="n"/>
      <c r="B788" s="1" t="n"/>
      <c r="C788" s="612" t="n"/>
      <c r="J788" s="613" t="n"/>
      <c r="K788" s="1" t="n"/>
      <c r="L788" s="16" t="n"/>
    </row>
    <row r="789" ht="12.75" customHeight="1" s="588">
      <c r="A789" s="1" t="n"/>
      <c r="B789" s="1" t="n"/>
      <c r="C789" s="612" t="n"/>
      <c r="J789" s="613" t="n"/>
      <c r="K789" s="1" t="n"/>
      <c r="L789" s="16" t="n"/>
    </row>
    <row r="790" ht="12.75" customHeight="1" s="588">
      <c r="A790" s="1" t="n"/>
      <c r="B790" s="1" t="n"/>
      <c r="C790" s="612" t="n"/>
      <c r="J790" s="613" t="n"/>
      <c r="K790" s="1" t="n"/>
      <c r="L790" s="16" t="n"/>
    </row>
    <row r="791" ht="13.5" customHeight="1" s="588">
      <c r="A791" s="1" t="n"/>
      <c r="B791" s="1" t="n"/>
      <c r="C791" s="614" t="n"/>
      <c r="D791" s="615" t="n"/>
      <c r="E791" s="615" t="n"/>
      <c r="F791" s="615" t="n"/>
      <c r="G791" s="615" t="n"/>
      <c r="H791" s="615" t="n"/>
      <c r="I791" s="615" t="n"/>
      <c r="J791" s="616" t="n"/>
      <c r="K791" s="1" t="n"/>
      <c r="L791" s="16" t="n"/>
    </row>
    <row r="792" ht="12.75" customHeight="1" s="588">
      <c r="A792" s="1" t="n"/>
      <c r="B792" s="1" t="n"/>
      <c r="C792" s="1" t="n"/>
      <c r="D792" s="1" t="n"/>
      <c r="E792" s="1" t="n"/>
      <c r="F792" s="1" t="n"/>
      <c r="G792" s="1" t="n"/>
      <c r="H792" s="1" t="n"/>
      <c r="I792" s="1" t="n"/>
      <c r="J792" s="1" t="n"/>
      <c r="K792" s="1" t="n"/>
      <c r="L792" s="16" t="n"/>
    </row>
    <row r="793" ht="12.75" customHeight="1" s="588">
      <c r="A793" s="1" t="n"/>
      <c r="B793" s="1" t="n"/>
      <c r="C793" s="1" t="n"/>
      <c r="D793" s="1" t="n"/>
      <c r="E793" s="1" t="n"/>
      <c r="F793" s="1" t="n"/>
      <c r="G793" s="1" t="n"/>
      <c r="H793" s="1" t="n"/>
      <c r="I793" s="1" t="n"/>
      <c r="J793" s="1" t="n"/>
      <c r="K793" s="1" t="n"/>
      <c r="L793" s="16" t="n"/>
    </row>
    <row r="794" ht="12.75" customHeight="1" s="588">
      <c r="A794" s="1" t="n"/>
      <c r="B794" s="1" t="n"/>
      <c r="C794" s="1" t="n"/>
      <c r="D794" s="1" t="n"/>
      <c r="E794" s="1" t="n"/>
      <c r="F794" s="1" t="n"/>
      <c r="G794" s="1" t="n"/>
      <c r="H794" s="1" t="n"/>
      <c r="I794" s="1" t="n"/>
      <c r="J794" s="1" t="n"/>
      <c r="K794" s="1" t="n"/>
      <c r="L794" s="16" t="n"/>
    </row>
    <row r="795" ht="12.75" customHeight="1" s="588">
      <c r="A795" s="1" t="n"/>
      <c r="B795" s="1" t="n"/>
      <c r="C795" s="1" t="n"/>
      <c r="D795" s="1" t="n"/>
      <c r="E795" s="1" t="n"/>
      <c r="F795" s="1" t="n"/>
      <c r="G795" s="1" t="n"/>
      <c r="H795" s="1" t="n"/>
      <c r="I795" s="1" t="n"/>
      <c r="J795" s="1" t="n"/>
      <c r="K795" s="1" t="n"/>
      <c r="L795" s="16" t="n"/>
    </row>
    <row r="796" ht="12.75" customHeight="1" s="588">
      <c r="A796" s="1" t="n"/>
      <c r="B796" s="1" t="n"/>
      <c r="C796" s="1" t="n"/>
      <c r="D796" s="1" t="n"/>
      <c r="E796" s="1" t="n"/>
      <c r="F796" s="1" t="n"/>
      <c r="G796" s="1" t="n"/>
      <c r="H796" s="1" t="n"/>
      <c r="I796" s="1" t="n"/>
      <c r="J796" s="1" t="n"/>
      <c r="K796" s="1" t="n"/>
      <c r="L796" s="16" t="n"/>
    </row>
    <row r="797" ht="12.75" customHeight="1" s="588">
      <c r="A797" s="1" t="n"/>
      <c r="B797" s="1" t="n"/>
      <c r="C797" s="1" t="n"/>
      <c r="D797" s="1" t="n"/>
      <c r="E797" s="1" t="n"/>
      <c r="F797" s="1" t="n"/>
      <c r="G797" s="1" t="n"/>
      <c r="H797" s="1" t="n"/>
      <c r="I797" s="1" t="n"/>
      <c r="J797" s="1" t="n"/>
      <c r="K797" s="1" t="n"/>
      <c r="L797" s="16" t="n"/>
    </row>
    <row r="798" ht="12.75" customHeight="1" s="588">
      <c r="A798" s="1" t="n"/>
      <c r="B798" s="1" t="n"/>
      <c r="C798" s="1" t="n"/>
      <c r="D798" s="1" t="n"/>
      <c r="E798" s="1" t="n"/>
      <c r="F798" s="1" t="n"/>
      <c r="G798" s="1" t="n"/>
      <c r="H798" s="1" t="n"/>
      <c r="I798" s="1" t="n"/>
      <c r="J798" s="1" t="n"/>
      <c r="K798" s="1" t="n"/>
      <c r="L798" s="16" t="n"/>
    </row>
    <row r="799" ht="12.75" customHeight="1" s="588">
      <c r="A799" s="1" t="n"/>
      <c r="B799" s="1" t="n"/>
      <c r="C799" s="1" t="n"/>
      <c r="D799" s="1" t="n"/>
      <c r="E799" s="1" t="n"/>
      <c r="F799" s="1" t="n"/>
      <c r="G799" s="1" t="n"/>
      <c r="H799" s="1" t="n"/>
      <c r="I799" s="1" t="n"/>
      <c r="J799" s="1" t="n"/>
      <c r="K799" s="1" t="n"/>
      <c r="L799" s="16" t="n"/>
    </row>
    <row r="800" ht="12.75" customHeight="1" s="588">
      <c r="A800" s="1" t="n"/>
      <c r="B800" s="1" t="n"/>
      <c r="C800" s="1" t="n"/>
      <c r="D800" s="1" t="n"/>
      <c r="E800" s="1" t="n"/>
      <c r="F800" s="1" t="n"/>
      <c r="G800" s="1" t="n"/>
      <c r="H800" s="1" t="n"/>
      <c r="I800" s="1" t="n"/>
      <c r="J800" s="1" t="n"/>
      <c r="K800" s="1" t="n"/>
      <c r="L800" s="16" t="n"/>
    </row>
    <row r="801" ht="12.75" customHeight="1" s="588">
      <c r="A801" s="1" t="n"/>
      <c r="B801" s="1" t="n"/>
      <c r="C801" s="1" t="n"/>
      <c r="D801" s="1" t="n"/>
      <c r="E801" s="1" t="n"/>
      <c r="F801" s="1" t="n"/>
      <c r="G801" s="1" t="n"/>
      <c r="H801" s="1" t="n"/>
      <c r="I801" s="1" t="n"/>
      <c r="J801" s="1" t="n"/>
      <c r="K801" s="1" t="n"/>
      <c r="L801" s="16" t="n"/>
    </row>
    <row r="802" ht="12.75" customHeight="1" s="588">
      <c r="A802" s="1" t="n"/>
      <c r="B802" s="1" t="n"/>
      <c r="C802" s="1" t="n"/>
      <c r="D802" s="1" t="n"/>
      <c r="E802" s="1" t="n"/>
      <c r="F802" s="1" t="n"/>
      <c r="G802" s="1" t="n"/>
      <c r="H802" s="1" t="n"/>
      <c r="I802" s="1" t="n"/>
      <c r="J802" s="1" t="n"/>
      <c r="K802" s="1" t="n"/>
      <c r="L802" s="16" t="n"/>
    </row>
    <row r="803" ht="12.75" customHeight="1" s="588">
      <c r="A803" s="1" t="n"/>
      <c r="B803" s="1" t="n"/>
      <c r="C803" s="1" t="n"/>
      <c r="D803" s="1" t="n"/>
      <c r="E803" s="1" t="n"/>
      <c r="F803" s="1" t="n"/>
      <c r="G803" s="1" t="n"/>
      <c r="H803" s="1" t="n"/>
      <c r="I803" s="1" t="n"/>
      <c r="J803" s="1" t="n"/>
      <c r="K803" s="1" t="n"/>
      <c r="L803" s="16" t="n"/>
    </row>
    <row r="804" ht="12.75" customHeight="1" s="588">
      <c r="A804" s="1" t="n"/>
      <c r="B804" s="1" t="n"/>
      <c r="C804" s="1" t="n"/>
      <c r="D804" s="1" t="n"/>
      <c r="E804" s="1" t="n"/>
      <c r="F804" s="1" t="n"/>
      <c r="G804" s="1" t="n"/>
      <c r="H804" s="1" t="n"/>
      <c r="I804" s="1" t="n"/>
      <c r="J804" s="1" t="n"/>
      <c r="K804" s="1" t="n"/>
      <c r="L804" s="16" t="n"/>
    </row>
    <row r="805" ht="12.75" customHeight="1" s="588">
      <c r="A805" s="1" t="n"/>
      <c r="B805" s="1" t="n"/>
      <c r="C805" s="1" t="n"/>
      <c r="D805" s="1" t="n"/>
      <c r="E805" s="1" t="n"/>
      <c r="F805" s="1" t="n"/>
      <c r="G805" s="1" t="n"/>
      <c r="H805" s="1" t="n"/>
      <c r="I805" s="1" t="n"/>
      <c r="J805" s="1" t="n"/>
      <c r="K805" s="1" t="n"/>
      <c r="L805" s="16" t="n"/>
    </row>
    <row r="806" ht="12.75" customHeight="1" s="588">
      <c r="A806" s="1" t="n"/>
      <c r="B806" s="1" t="n"/>
      <c r="C806" s="1" t="n"/>
      <c r="D806" s="1" t="n"/>
      <c r="E806" s="1" t="n"/>
      <c r="F806" s="1" t="n"/>
      <c r="G806" s="1" t="n"/>
      <c r="H806" s="1" t="n"/>
      <c r="I806" s="1" t="n"/>
      <c r="J806" s="1" t="n"/>
      <c r="K806" s="1" t="n"/>
    </row>
    <row r="807" ht="12.75" customHeight="1" s="588">
      <c r="A807" s="1" t="n"/>
      <c r="B807" s="1" t="n"/>
      <c r="C807" s="1" t="n"/>
      <c r="D807" s="1" t="n"/>
      <c r="E807" s="1" t="n"/>
      <c r="F807" s="1" t="n"/>
      <c r="G807" s="1" t="n"/>
      <c r="H807" s="1" t="n"/>
      <c r="I807" s="1" t="n"/>
      <c r="J807" s="1" t="n"/>
      <c r="K807" s="1" t="n"/>
    </row>
    <row r="808" ht="12.75" customHeight="1" s="588">
      <c r="A808" s="1" t="n"/>
      <c r="B808" s="1" t="n"/>
      <c r="C808" s="1" t="n"/>
      <c r="D808" s="1" t="n"/>
      <c r="E808" s="1" t="n"/>
      <c r="F808" s="1" t="n"/>
      <c r="G808" s="1" t="n"/>
      <c r="H808" s="1" t="n"/>
      <c r="I808" s="1" t="n"/>
      <c r="J808" s="1" t="n"/>
      <c r="K808" s="1" t="n"/>
    </row>
    <row r="809" ht="12.75" customHeight="1" s="588">
      <c r="A809" s="1" t="n"/>
      <c r="B809" s="1" t="n"/>
      <c r="C809" s="1" t="n"/>
      <c r="D809" s="1" t="n"/>
      <c r="E809" s="1" t="n"/>
      <c r="F809" s="1" t="n"/>
      <c r="G809" s="1" t="n"/>
      <c r="H809" s="1" t="n"/>
      <c r="I809" s="1" t="n"/>
      <c r="J809" s="1" t="n"/>
      <c r="K809" s="1" t="n"/>
    </row>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219">
    <mergeCell ref="E729:F729"/>
    <mergeCell ref="E78:F81"/>
    <mergeCell ref="H17:I18"/>
    <mergeCell ref="G411:H413"/>
    <mergeCell ref="G78:H81"/>
    <mergeCell ref="J253:K253"/>
    <mergeCell ref="E731:F734"/>
    <mergeCell ref="B729:D729"/>
    <mergeCell ref="A168:B171"/>
    <mergeCell ref="A464:K494"/>
    <mergeCell ref="G695:H695"/>
    <mergeCell ref="I275:J275"/>
    <mergeCell ref="I695:J695"/>
    <mergeCell ref="A550:K563"/>
    <mergeCell ref="G29:K30"/>
    <mergeCell ref="A136:B139"/>
    <mergeCell ref="F259:G262"/>
    <mergeCell ref="F264:G267"/>
    <mergeCell ref="G606:G607"/>
    <mergeCell ref="E615:E616"/>
    <mergeCell ref="E693:H693"/>
    <mergeCell ref="A742:K772"/>
    <mergeCell ref="I76:J76"/>
    <mergeCell ref="D151:E151"/>
    <mergeCell ref="A6:B28"/>
    <mergeCell ref="H264:I267"/>
    <mergeCell ref="C168:F171"/>
    <mergeCell ref="J264:K267"/>
    <mergeCell ref="I88:J91"/>
    <mergeCell ref="H609:J610"/>
    <mergeCell ref="A131:B134"/>
    <mergeCell ref="A674:K687"/>
    <mergeCell ref="B612:D613"/>
    <mergeCell ref="F270:H270"/>
    <mergeCell ref="F621:F622"/>
    <mergeCell ref="A285:K314"/>
    <mergeCell ref="F254:G257"/>
    <mergeCell ref="F615:F616"/>
    <mergeCell ref="H254:I257"/>
    <mergeCell ref="A121:B124"/>
    <mergeCell ref="H4:I5"/>
    <mergeCell ref="F618:F619"/>
    <mergeCell ref="C259:E262"/>
    <mergeCell ref="C76:D76"/>
    <mergeCell ref="F627:F628"/>
    <mergeCell ref="D401:E403"/>
    <mergeCell ref="E727:H727"/>
    <mergeCell ref="A276:B279"/>
    <mergeCell ref="E603:E605"/>
    <mergeCell ref="G603:G605"/>
    <mergeCell ref="G173:H176"/>
    <mergeCell ref="I271:J272"/>
    <mergeCell ref="A609:A610"/>
    <mergeCell ref="A618:A619"/>
    <mergeCell ref="I270:J270"/>
    <mergeCell ref="E612:E613"/>
    <mergeCell ref="G612:G613"/>
    <mergeCell ref="B731:D734"/>
    <mergeCell ref="H605:J605"/>
    <mergeCell ref="E697:F700"/>
    <mergeCell ref="G697:H700"/>
    <mergeCell ref="H627:J628"/>
    <mergeCell ref="A158:B161"/>
    <mergeCell ref="C270:E270"/>
    <mergeCell ref="I116:J119"/>
    <mergeCell ref="E695:F695"/>
    <mergeCell ref="F609:F610"/>
    <mergeCell ref="G151:H151"/>
    <mergeCell ref="A264:B267"/>
    <mergeCell ref="G178:H178"/>
    <mergeCell ref="I151:J151"/>
    <mergeCell ref="C131:H134"/>
    <mergeCell ref="A254:B257"/>
    <mergeCell ref="A624:A625"/>
    <mergeCell ref="G93:H96"/>
    <mergeCell ref="A4:B5"/>
    <mergeCell ref="I173:J176"/>
    <mergeCell ref="J6:K28"/>
    <mergeCell ref="G163:H166"/>
    <mergeCell ref="E624:E625"/>
    <mergeCell ref="E4:G5"/>
    <mergeCell ref="C126:H129"/>
    <mergeCell ref="G624:G625"/>
    <mergeCell ref="A185:K214"/>
    <mergeCell ref="F253:G253"/>
    <mergeCell ref="C78:D81"/>
    <mergeCell ref="C116:H119"/>
    <mergeCell ref="I114:J114"/>
    <mergeCell ref="I153:J156"/>
    <mergeCell ref="D271:E272"/>
    <mergeCell ref="H253:I253"/>
    <mergeCell ref="I168:J171"/>
    <mergeCell ref="G275:H275"/>
    <mergeCell ref="A98:B101"/>
    <mergeCell ref="C98:D101"/>
    <mergeCell ref="C153:F156"/>
    <mergeCell ref="G158:H161"/>
    <mergeCell ref="I158:J161"/>
    <mergeCell ref="I136:J139"/>
    <mergeCell ref="B697:D700"/>
    <mergeCell ref="A88:B91"/>
    <mergeCell ref="A615:A616"/>
    <mergeCell ref="E606:E607"/>
    <mergeCell ref="A429:K459"/>
    <mergeCell ref="E76:F76"/>
    <mergeCell ref="C19:D28"/>
    <mergeCell ref="G609:G610"/>
    <mergeCell ref="G76:H76"/>
    <mergeCell ref="G98:H101"/>
    <mergeCell ref="C396:E398"/>
    <mergeCell ref="F401:G403"/>
    <mergeCell ref="C88:D91"/>
    <mergeCell ref="B627:D628"/>
    <mergeCell ref="E88:F91"/>
    <mergeCell ref="C93:D96"/>
    <mergeCell ref="A568:K581"/>
    <mergeCell ref="E98:F101"/>
    <mergeCell ref="I131:J134"/>
    <mergeCell ref="F624:F625"/>
    <mergeCell ref="I121:J124"/>
    <mergeCell ref="I93:J96"/>
    <mergeCell ref="G729:H729"/>
    <mergeCell ref="G31:K35"/>
    <mergeCell ref="I729:J729"/>
    <mergeCell ref="A584:K597"/>
    <mergeCell ref="G83:H86"/>
    <mergeCell ref="I83:J86"/>
    <mergeCell ref="A126:B129"/>
    <mergeCell ref="C264:E267"/>
    <mergeCell ref="E618:E619"/>
    <mergeCell ref="B615:D616"/>
    <mergeCell ref="E411:F413"/>
    <mergeCell ref="G618:G619"/>
    <mergeCell ref="E627:E628"/>
    <mergeCell ref="A163:B166"/>
    <mergeCell ref="A116:B119"/>
    <mergeCell ref="G627:G628"/>
    <mergeCell ref="H624:J625"/>
    <mergeCell ref="C276:F279"/>
    <mergeCell ref="C254:E257"/>
    <mergeCell ref="A370:K383"/>
    <mergeCell ref="F603:F605"/>
    <mergeCell ref="H621:J622"/>
    <mergeCell ref="H615:J616"/>
    <mergeCell ref="I78:J81"/>
    <mergeCell ref="G731:H734"/>
    <mergeCell ref="A639:K669"/>
    <mergeCell ref="A354:K367"/>
    <mergeCell ref="I731:J734"/>
    <mergeCell ref="F606:F607"/>
    <mergeCell ref="A42:K71"/>
    <mergeCell ref="G168:H171"/>
    <mergeCell ref="C173:F176"/>
    <mergeCell ref="H19:I28"/>
    <mergeCell ref="F612:F613"/>
    <mergeCell ref="H259:I262"/>
    <mergeCell ref="J259:K262"/>
    <mergeCell ref="G615:G616"/>
    <mergeCell ref="H6:I16"/>
    <mergeCell ref="A320:K349"/>
    <mergeCell ref="A235:K248"/>
    <mergeCell ref="A153:B156"/>
    <mergeCell ref="H606:J607"/>
    <mergeCell ref="A219:K232"/>
    <mergeCell ref="B609:D610"/>
    <mergeCell ref="B618:D619"/>
    <mergeCell ref="C158:F161"/>
    <mergeCell ref="J254:K257"/>
    <mergeCell ref="A29:F30"/>
    <mergeCell ref="I178:J178"/>
    <mergeCell ref="J4:K5"/>
    <mergeCell ref="A534:K547"/>
    <mergeCell ref="C786:J791"/>
    <mergeCell ref="I98:J101"/>
    <mergeCell ref="C17:D18"/>
    <mergeCell ref="E6:G28"/>
    <mergeCell ref="F271:H272"/>
    <mergeCell ref="G88:H91"/>
    <mergeCell ref="H612:J613"/>
    <mergeCell ref="A606:A607"/>
    <mergeCell ref="D275:E275"/>
    <mergeCell ref="C136:H139"/>
    <mergeCell ref="E609:E610"/>
    <mergeCell ref="A259:B262"/>
    <mergeCell ref="H618:J619"/>
    <mergeCell ref="B621:D622"/>
    <mergeCell ref="A93:B96"/>
    <mergeCell ref="C253:E253"/>
    <mergeCell ref="I697:J700"/>
    <mergeCell ref="G153:H156"/>
    <mergeCell ref="G276:H279"/>
    <mergeCell ref="C6:D16"/>
    <mergeCell ref="D406:E408"/>
    <mergeCell ref="B695:D695"/>
    <mergeCell ref="A83:B86"/>
    <mergeCell ref="I276:J279"/>
    <mergeCell ref="F406:G408"/>
    <mergeCell ref="C163:F166"/>
    <mergeCell ref="A708:K721"/>
    <mergeCell ref="E93:F96"/>
    <mergeCell ref="A612:A613"/>
    <mergeCell ref="A621:A622"/>
    <mergeCell ref="C83:D86"/>
    <mergeCell ref="C121:H124"/>
    <mergeCell ref="E83:F86"/>
    <mergeCell ref="F396:H398"/>
    <mergeCell ref="C4:D5"/>
    <mergeCell ref="A173:B176"/>
    <mergeCell ref="I126:J129"/>
    <mergeCell ref="B606:D607"/>
    <mergeCell ref="A627:A628"/>
    <mergeCell ref="A78:B81"/>
    <mergeCell ref="A31:F35"/>
    <mergeCell ref="B624:D625"/>
    <mergeCell ref="C411:D413"/>
    <mergeCell ref="E621:E622"/>
    <mergeCell ref="G621:G622"/>
    <mergeCell ref="I163:J166"/>
    <mergeCell ref="A499:K529"/>
  </mergeCells>
  <dataValidations count="5">
    <dataValidation sqref="C78 C83 C88 C93 C98 E78 E83 E88 E93 E98" showDropDown="0" showInputMessage="1" showErrorMessage="1" allowBlank="1" prompt="El dato debe ser numérico" type="decimal" operator="greaterThan">
      <formula1>0.0</formula1>
    </dataValidation>
    <dataValidation sqref="F396" showDropDown="0" showInputMessage="0" showErrorMessage="1" allowBlank="1" type="list">
      <formula1>$A$414:$A$418</formula1>
    </dataValidation>
    <dataValidation sqref="I116 I121 I126 I131 I136" showDropDown="0" showInputMessage="0" showErrorMessage="1" allowBlank="1" type="list">
      <formula1>$E$140:$E$142</formula1>
    </dataValidation>
    <dataValidation sqref="H606 H609 H612 H615 H618 H621 H624 H627" showDropDown="0" showInputMessage="0" showErrorMessage="1" allowBlank="1" type="list">
      <formula1>$A$629:$A$633</formula1>
    </dataValidation>
    <dataValidation sqref="C116 C121 C126 C131 C136" showDropDown="0" showInputMessage="0" showErrorMessage="1" allowBlank="1" type="list">
      <formula1>$C$140:$C$142</formula1>
    </dataValidation>
  </dataValidations>
  <pageMargins left="0.7086614173228347" right="0.7086614173228347" top="0.9448818897637796" bottom="0.7480314960629921" header="0" footer="0"/>
  <pageSetup orientation="landscape" paperSize="9"/>
  <headerFooter>
    <oddHeader/>
    <oddFooter>&amp;L00-048&amp;F&amp;C03+079Metodología INCYNCO&amp;R00-048Cómo &amp;P</oddFooter>
    <evenHeader/>
    <evenFooter/>
    <firstHeader/>
    <firstFooter/>
  </headerFooter>
</worksheet>
</file>

<file path=xl/worksheets/sheet5.xml><?xml version="1.0" encoding="utf-8"?>
<worksheet xmlns="http://schemas.openxmlformats.org/spreadsheetml/2006/main">
  <sheetPr>
    <tabColor rgb="FF548DD4"/>
    <outlinePr summaryBelow="1" summaryRight="1"/>
    <pageSetUpPr/>
  </sheetPr>
  <dimension ref="A1:Z145"/>
  <sheetViews>
    <sheetView workbookViewId="0">
      <selection activeCell="A1" sqref="A1"/>
    </sheetView>
  </sheetViews>
  <sheetFormatPr baseColWidth="8" defaultColWidth="14.43" defaultRowHeight="15" customHeight="1"/>
  <cols>
    <col width="10.71" customWidth="1" style="588" min="1" max="26"/>
  </cols>
  <sheetData>
    <row r="1" ht="12.75" customHeight="1" s="588">
      <c r="A1" s="8" t="inlineStr">
        <is>
          <t>¿EL QUÉ?</t>
        </is>
      </c>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c r="L2" s="16" t="n"/>
      <c r="M2" s="16" t="n"/>
      <c r="N2" s="16" t="n"/>
      <c r="O2" s="16" t="n"/>
      <c r="P2" s="16"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c r="L3" s="16" t="n"/>
      <c r="M3" s="16" t="n"/>
      <c r="N3" s="16" t="n"/>
      <c r="O3" s="16" t="n"/>
      <c r="P3" s="16" t="n"/>
      <c r="Q3" s="16" t="n"/>
      <c r="R3" s="16" t="n"/>
      <c r="S3" s="16" t="n"/>
      <c r="T3" s="16" t="n"/>
      <c r="U3" s="16" t="n"/>
      <c r="V3" s="16" t="n"/>
      <c r="W3" s="16" t="n"/>
      <c r="X3" s="16" t="n"/>
      <c r="Y3" s="16" t="n"/>
      <c r="Z3" s="16" t="n"/>
    </row>
    <row r="4" ht="12.75" customHeight="1" s="588">
      <c r="A4" s="1" t="n"/>
      <c r="B4" s="1" t="n"/>
      <c r="C4" s="1" t="n"/>
      <c r="D4" s="1" t="n"/>
      <c r="E4" s="1" t="n"/>
      <c r="F4" s="130" t="inlineStr">
        <is>
          <t>Productos/Servicios que materializan la Idea</t>
        </is>
      </c>
      <c r="G4" s="1" t="n"/>
      <c r="H4" s="1" t="n"/>
      <c r="I4" s="1" t="n"/>
      <c r="J4" s="1" t="n"/>
      <c r="K4" s="1" t="n"/>
    </row>
    <row r="5" ht="12.75" customHeight="1" s="588">
      <c r="A5" s="1" t="n"/>
      <c r="B5" s="1" t="n"/>
      <c r="C5" s="1" t="n"/>
      <c r="D5" s="1" t="n"/>
      <c r="E5" s="1" t="n"/>
      <c r="F5" s="1" t="n"/>
      <c r="G5" s="1" t="n"/>
      <c r="H5" s="1" t="n"/>
      <c r="I5" s="1" t="n"/>
      <c r="J5" s="1" t="n"/>
      <c r="K5" s="1" t="n"/>
    </row>
    <row r="6" ht="24.75" customHeight="1" s="588">
      <c r="A6" s="44" t="inlineStr">
        <is>
          <t>Nombre</t>
        </is>
      </c>
      <c r="C6" s="1" t="n"/>
      <c r="D6" s="1" t="n"/>
      <c r="E6" s="44" t="inlineStr">
        <is>
          <t>Descripción</t>
        </is>
      </c>
      <c r="F6" s="1" t="n"/>
      <c r="G6" s="1" t="n"/>
      <c r="H6" s="1" t="n"/>
      <c r="I6" s="714" t="inlineStr">
        <is>
          <t>Posicionamiento en Precio en el Sector</t>
        </is>
      </c>
      <c r="K6" s="1" t="n"/>
    </row>
    <row r="7" ht="12.75" customHeight="1" s="588">
      <c r="A7" s="1" t="n"/>
      <c r="B7" s="1" t="n"/>
      <c r="C7" s="1" t="n"/>
      <c r="D7" s="1" t="n"/>
      <c r="E7" s="1" t="n"/>
      <c r="F7" s="1" t="n"/>
      <c r="G7" s="1" t="n"/>
      <c r="H7" s="1" t="n"/>
      <c r="I7" s="598" t="n"/>
      <c r="J7" s="598" t="n"/>
      <c r="K7" s="1" t="n"/>
    </row>
    <row r="8" ht="12.75" customHeight="1" s="588">
      <c r="A8" s="715" t="inlineStr">
        <is>
          <t>Web esencial</t>
        </is>
      </c>
      <c r="B8" s="594" t="n"/>
      <c r="C8" s="661" t="inlineStr">
        <is>
          <t>Sitio corporativo de hasta 6 secciones sobre WordPress: diseño a medida, responsive, textos base, ficha de Google Business, aviso legal y cookies. Plazo 2-3 semanas. Incluye 2 rondas de cambios.</t>
        </is>
      </c>
      <c r="D8" s="593" t="n"/>
      <c r="E8" s="593" t="n"/>
      <c r="F8" s="593" t="n"/>
      <c r="G8" s="593" t="n"/>
      <c r="H8" s="594" t="n"/>
      <c r="I8" s="693" t="inlineStr">
        <is>
          <t>Medio</t>
        </is>
      </c>
      <c r="J8" s="594" t="n"/>
      <c r="K8" s="1" t="n"/>
    </row>
    <row r="9" ht="12.75" customHeight="1" s="588">
      <c r="A9" s="595" t="n"/>
      <c r="B9" s="596" t="n"/>
      <c r="C9" s="595" t="n"/>
      <c r="H9" s="596" t="n"/>
      <c r="I9" s="595" t="n"/>
      <c r="J9" s="596" t="n"/>
      <c r="K9" s="1" t="n"/>
    </row>
    <row r="10" ht="12.75" customHeight="1" s="588">
      <c r="A10" s="595" t="n"/>
      <c r="B10" s="596" t="n"/>
      <c r="C10" s="595" t="n"/>
      <c r="H10" s="596" t="n"/>
      <c r="I10" s="595" t="n"/>
      <c r="J10" s="596" t="n"/>
      <c r="K10" s="1" t="n"/>
    </row>
    <row r="11" ht="12.75" customHeight="1" s="588">
      <c r="A11" s="597" t="n"/>
      <c r="B11" s="599" t="n"/>
      <c r="C11" s="597" t="n"/>
      <c r="D11" s="598" t="n"/>
      <c r="E11" s="598" t="n"/>
      <c r="F11" s="598" t="n"/>
      <c r="G11" s="598" t="n"/>
      <c r="H11" s="599" t="n"/>
      <c r="I11" s="597" t="n"/>
      <c r="J11" s="599" t="n"/>
      <c r="K11" s="1" t="n"/>
    </row>
    <row r="12" ht="12.75" customHeight="1" s="588">
      <c r="A12" s="1" t="n"/>
      <c r="B12" s="1" t="n"/>
      <c r="C12" s="1" t="n"/>
      <c r="D12" s="1" t="n"/>
      <c r="E12" s="1" t="n"/>
      <c r="F12" s="1" t="n"/>
      <c r="G12" s="1" t="n"/>
      <c r="H12" s="1" t="n"/>
      <c r="I12" s="1" t="n"/>
      <c r="J12" s="1" t="n"/>
      <c r="K12" s="1" t="n"/>
    </row>
    <row r="13" ht="12.75" customHeight="1" s="588">
      <c r="A13" s="643" t="inlineStr">
        <is>
          <t>Web profesional / e-commerce</t>
        </is>
      </c>
      <c r="B13" s="594" t="n"/>
      <c r="C13" s="661" t="inlineStr">
        <is>
          <t>Tienda online o sitio avanzado: catalogo, pasarela de pago, multiidioma, integraciones (reservas, facturación, envios). Plazo 6-8 semanas. Producto estrella del vertical de bodegas DO Bierzo.</t>
        </is>
      </c>
      <c r="D13" s="593" t="n"/>
      <c r="E13" s="593" t="n"/>
      <c r="F13" s="593" t="n"/>
      <c r="G13" s="593" t="n"/>
      <c r="H13" s="594" t="n"/>
      <c r="I13" s="693" t="inlineStr">
        <is>
          <t>Medio-Alto</t>
        </is>
      </c>
      <c r="J13" s="594" t="n"/>
      <c r="K13" s="1" t="n"/>
    </row>
    <row r="14" ht="12.75" customHeight="1" s="588">
      <c r="A14" s="595" t="n"/>
      <c r="B14" s="596" t="n"/>
      <c r="C14" s="595" t="n"/>
      <c r="H14" s="596" t="n"/>
      <c r="I14" s="595" t="n"/>
      <c r="J14" s="596" t="n"/>
      <c r="K14" s="1" t="n"/>
    </row>
    <row r="15" ht="12.75" customHeight="1" s="588">
      <c r="A15" s="595" t="n"/>
      <c r="B15" s="596" t="n"/>
      <c r="C15" s="595" t="n"/>
      <c r="H15" s="596" t="n"/>
      <c r="I15" s="595" t="n"/>
      <c r="J15" s="596" t="n"/>
      <c r="K15" s="1" t="n"/>
    </row>
    <row r="16" ht="12.75" customHeight="1" s="588">
      <c r="A16" s="597" t="n"/>
      <c r="B16" s="599" t="n"/>
      <c r="C16" s="597" t="n"/>
      <c r="D16" s="598" t="n"/>
      <c r="E16" s="598" t="n"/>
      <c r="F16" s="598" t="n"/>
      <c r="G16" s="598" t="n"/>
      <c r="H16" s="599" t="n"/>
      <c r="I16" s="597" t="n"/>
      <c r="J16" s="599" t="n"/>
      <c r="K16" s="1" t="n"/>
    </row>
    <row r="17" ht="12.75" customHeight="1" s="588">
      <c r="A17" s="1" t="n"/>
      <c r="B17" s="1" t="n"/>
      <c r="C17" s="1" t="n"/>
      <c r="D17" s="1" t="n"/>
      <c r="E17" s="1" t="n"/>
      <c r="F17" s="1" t="n"/>
      <c r="G17" s="1" t="n"/>
      <c r="H17" s="1" t="n"/>
      <c r="I17" s="1" t="n"/>
      <c r="J17" s="1" t="n"/>
      <c r="K17" s="1" t="n"/>
    </row>
    <row r="18" ht="12.75" customHeight="1" s="588">
      <c r="A18" s="643" t="inlineStr">
        <is>
          <t>Identidad visual y diseño gráfico</t>
        </is>
      </c>
      <c r="B18" s="594" t="n"/>
      <c r="C18" s="654" t="inlineStr">
        <is>
          <t>Logotipo, manual básico de marca y aplicaciones (papelería, cartelería, RRSS, rotulación). Plazo 2-4 semanas. Se vende como paquete con la web.</t>
        </is>
      </c>
      <c r="D18" s="593" t="n"/>
      <c r="E18" s="593" t="n"/>
      <c r="F18" s="593" t="n"/>
      <c r="G18" s="593" t="n"/>
      <c r="H18" s="594" t="n"/>
      <c r="I18" s="693" t="inlineStr">
        <is>
          <t>Medio</t>
        </is>
      </c>
      <c r="J18" s="594" t="n"/>
      <c r="K18" s="1" t="n"/>
    </row>
    <row r="19" ht="12.75" customHeight="1" s="588">
      <c r="A19" s="595" t="n"/>
      <c r="B19" s="596" t="n"/>
      <c r="C19" s="595" t="n"/>
      <c r="H19" s="596" t="n"/>
      <c r="I19" s="595" t="n"/>
      <c r="J19" s="596" t="n"/>
      <c r="K19" s="1" t="n"/>
    </row>
    <row r="20" ht="12.75" customHeight="1" s="588">
      <c r="A20" s="595" t="n"/>
      <c r="B20" s="596" t="n"/>
      <c r="C20" s="595" t="n"/>
      <c r="H20" s="596" t="n"/>
      <c r="I20" s="595" t="n"/>
      <c r="J20" s="596" t="n"/>
      <c r="K20" s="1" t="n"/>
    </row>
    <row r="21" ht="12.75" customHeight="1" s="588">
      <c r="A21" s="597" t="n"/>
      <c r="B21" s="599" t="n"/>
      <c r="C21" s="597" t="n"/>
      <c r="D21" s="598" t="n"/>
      <c r="E21" s="598" t="n"/>
      <c r="F21" s="598" t="n"/>
      <c r="G21" s="598" t="n"/>
      <c r="H21" s="599" t="n"/>
      <c r="I21" s="597" t="n"/>
      <c r="J21" s="599" t="n"/>
      <c r="K21" s="1" t="n"/>
    </row>
    <row r="22" ht="12.75" customHeight="1" s="588">
      <c r="A22" s="1" t="n"/>
      <c r="B22" s="1" t="n"/>
      <c r="C22" s="1" t="n"/>
      <c r="D22" s="1" t="n"/>
      <c r="E22" s="1" t="n"/>
      <c r="F22" s="1" t="n"/>
      <c r="G22" s="1" t="n"/>
      <c r="H22" s="1" t="n"/>
      <c r="I22" s="1" t="n"/>
      <c r="J22" s="1" t="n"/>
      <c r="K22" s="1" t="n"/>
    </row>
    <row r="23" ht="12.75" customHeight="1" s="588">
      <c r="A23" s="643" t="inlineStr">
        <is>
          <t>Mantenimiento web gestionado (cuota)</t>
        </is>
      </c>
      <c r="B23" s="594" t="n"/>
      <c r="C23" s="661" t="inlineStr">
        <is>
          <t>RECURRENTE, 60 EUR/mes. Copias de seguridad, actualizaciones, seguridad, monitorización, pequeños cambios de contenido y revisión trimestral presencial. Permanencia mínima 12 meses.</t>
        </is>
      </c>
      <c r="D23" s="593" t="n"/>
      <c r="E23" s="593" t="n"/>
      <c r="F23" s="593" t="n"/>
      <c r="G23" s="593" t="n"/>
      <c r="H23" s="594" t="n"/>
      <c r="I23" s="693" t="inlineStr">
        <is>
          <t>Medio</t>
        </is>
      </c>
      <c r="J23" s="594" t="n"/>
      <c r="K23" s="1" t="n"/>
    </row>
    <row r="24" ht="12.75" customHeight="1" s="588">
      <c r="A24" s="595" t="n"/>
      <c r="B24" s="596" t="n"/>
      <c r="C24" s="595" t="n"/>
      <c r="H24" s="596" t="n"/>
      <c r="I24" s="595" t="n"/>
      <c r="J24" s="596" t="n"/>
      <c r="K24" s="1" t="n"/>
    </row>
    <row r="25" ht="12.75" customHeight="1" s="588">
      <c r="A25" s="595" t="n"/>
      <c r="B25" s="596" t="n"/>
      <c r="C25" s="595" t="n"/>
      <c r="H25" s="596" t="n"/>
      <c r="I25" s="595" t="n"/>
      <c r="J25" s="596" t="n"/>
      <c r="K25" s="1" t="n"/>
    </row>
    <row r="26" ht="12.75" customHeight="1" s="588">
      <c r="A26" s="597" t="n"/>
      <c r="B26" s="599" t="n"/>
      <c r="C26" s="597" t="n"/>
      <c r="D26" s="598" t="n"/>
      <c r="E26" s="598" t="n"/>
      <c r="F26" s="598" t="n"/>
      <c r="G26" s="598" t="n"/>
      <c r="H26" s="599" t="n"/>
      <c r="I26" s="597" t="n"/>
      <c r="J26" s="599" t="n"/>
      <c r="K26" s="1" t="n"/>
    </row>
    <row r="27" ht="12.75" customHeight="1" s="588">
      <c r="A27" s="1" t="n"/>
      <c r="B27" s="1" t="n"/>
      <c r="C27" s="1" t="n"/>
      <c r="D27" s="1" t="n"/>
      <c r="E27" s="1" t="n"/>
      <c r="F27" s="1" t="n"/>
      <c r="G27" s="1" t="n"/>
      <c r="H27" s="1" t="n"/>
      <c r="I27" s="1" t="n"/>
      <c r="J27" s="1" t="n"/>
      <c r="K27" s="1" t="n"/>
    </row>
    <row r="28" ht="12.75" customHeight="1" s="588">
      <c r="A28" s="643" t="inlineStr">
        <is>
          <t>SEO local y Google Business (cuota)</t>
        </is>
      </c>
      <c r="B28" s="594" t="n"/>
      <c r="C28" s="654" t="inlineStr">
        <is>
          <t>RECURRENTE, 250 EUR/mes. Posicionamiento en busquedas locales del Bierzo, gestión de la ficha de Google, contenido mensual, resenas e informe de resultados. Permanencia mínima 6 meses.</t>
        </is>
      </c>
      <c r="D28" s="593" t="n"/>
      <c r="E28" s="593" t="n"/>
      <c r="F28" s="593" t="n"/>
      <c r="G28" s="593" t="n"/>
      <c r="H28" s="594" t="n"/>
      <c r="I28" s="693" t="inlineStr">
        <is>
          <t>Medio</t>
        </is>
      </c>
      <c r="J28" s="594" t="n"/>
      <c r="K28" s="1" t="n"/>
    </row>
    <row r="29" ht="12.75" customHeight="1" s="588">
      <c r="A29" s="595" t="n"/>
      <c r="B29" s="596" t="n"/>
      <c r="C29" s="595" t="n"/>
      <c r="H29" s="596" t="n"/>
      <c r="I29" s="595" t="n"/>
      <c r="J29" s="596" t="n"/>
      <c r="K29" s="1" t="n"/>
    </row>
    <row r="30" ht="12.75" customHeight="1" s="588">
      <c r="A30" s="595" t="n"/>
      <c r="B30" s="596" t="n"/>
      <c r="C30" s="595" t="n"/>
      <c r="H30" s="596" t="n"/>
      <c r="I30" s="595" t="n"/>
      <c r="J30" s="596" t="n"/>
      <c r="K30" s="1" t="n"/>
    </row>
    <row r="31" ht="12.75" customHeight="1" s="588">
      <c r="A31" s="597" t="n"/>
      <c r="B31" s="599" t="n"/>
      <c r="C31" s="597" t="n"/>
      <c r="D31" s="598" t="n"/>
      <c r="E31" s="598" t="n"/>
      <c r="F31" s="598" t="n"/>
      <c r="G31" s="598" t="n"/>
      <c r="H31" s="599" t="n"/>
      <c r="I31" s="597" t="n"/>
      <c r="J31" s="599" t="n"/>
      <c r="K31" s="1" t="n"/>
    </row>
    <row r="32" hidden="1" ht="12.75" customHeight="1" s="588">
      <c r="A32" s="1" t="n"/>
      <c r="B32" s="1" t="n"/>
      <c r="C32" s="1" t="n"/>
      <c r="D32" s="1" t="n"/>
      <c r="E32" s="1" t="inlineStr">
        <is>
          <t>Alto</t>
        </is>
      </c>
      <c r="F32" s="1" t="n"/>
      <c r="G32" s="1" t="n"/>
      <c r="H32" s="1" t="n"/>
      <c r="I32" s="1" t="n"/>
      <c r="J32" s="1" t="n"/>
      <c r="K32" s="1" t="n"/>
    </row>
    <row r="33" hidden="1" ht="12.75" customHeight="1" s="588">
      <c r="A33" s="1" t="n"/>
      <c r="B33" s="1" t="n"/>
      <c r="C33" s="1" t="n"/>
      <c r="D33" s="1" t="n"/>
      <c r="E33" s="1" t="inlineStr">
        <is>
          <t>Medio</t>
        </is>
      </c>
      <c r="F33" s="1" t="n"/>
      <c r="G33" s="1" t="n"/>
      <c r="H33" s="1" t="n"/>
      <c r="I33" s="1" t="n"/>
      <c r="J33" s="1" t="n"/>
      <c r="K33" s="1" t="n"/>
    </row>
    <row r="34" hidden="1" ht="12.75" customHeight="1" s="588">
      <c r="A34" s="1" t="n"/>
      <c r="B34" s="1" t="n"/>
      <c r="C34" s="1" t="n"/>
      <c r="D34" s="1" t="n"/>
      <c r="E34" s="1" t="inlineStr">
        <is>
          <t>Bajo</t>
        </is>
      </c>
      <c r="F34" s="1" t="n"/>
      <c r="G34" s="1" t="n"/>
      <c r="H34" s="1" t="n"/>
      <c r="I34" s="1" t="n"/>
      <c r="J34" s="1" t="n"/>
      <c r="K34" s="1" t="n"/>
    </row>
    <row r="35" ht="12.75" customHeight="1" s="588">
      <c r="A35" s="1" t="n"/>
      <c r="B35" s="1" t="n"/>
      <c r="C35" s="1" t="n"/>
      <c r="D35" s="1" t="n"/>
      <c r="E35" s="1" t="n"/>
      <c r="F35" s="1" t="n"/>
      <c r="G35" s="1" t="n"/>
      <c r="H35" s="1" t="n"/>
      <c r="I35" s="1" t="n"/>
      <c r="J35" s="1" t="n"/>
      <c r="K35" s="1" t="n"/>
    </row>
    <row r="36" ht="12.75" customHeight="1" s="588">
      <c r="A36" s="1" t="n"/>
      <c r="B36" s="1" t="n"/>
      <c r="C36" s="1" t="n"/>
      <c r="D36" s="1" t="n"/>
      <c r="E36" s="1" t="n"/>
      <c r="F36" s="1" t="n"/>
      <c r="G36" s="1" t="n"/>
      <c r="H36" s="1" t="n"/>
      <c r="I36" s="1" t="n"/>
      <c r="J36" s="1" t="n"/>
      <c r="K36" s="1" t="n"/>
    </row>
    <row r="37" ht="12.75" customHeight="1" s="588">
      <c r="A37" s="1" t="n"/>
      <c r="B37" s="1" t="n"/>
      <c r="C37" s="1" t="n"/>
      <c r="D37" s="1" t="n"/>
      <c r="E37" s="1" t="n"/>
      <c r="F37" s="1" t="n"/>
      <c r="G37" s="1" t="n"/>
      <c r="H37" s="1" t="n"/>
      <c r="I37" s="1" t="n"/>
      <c r="J37" s="1" t="n"/>
      <c r="K37" s="1" t="n"/>
    </row>
    <row r="38" ht="12.75" customHeight="1" s="588">
      <c r="A38" s="1" t="n"/>
      <c r="B38" s="1" t="n"/>
      <c r="C38" s="1" t="n"/>
      <c r="D38" s="1" t="n"/>
      <c r="E38" s="1" t="n"/>
      <c r="F38" s="1" t="n"/>
      <c r="G38" s="1" t="n"/>
      <c r="H38" s="1" t="n"/>
      <c r="I38" s="1" t="n"/>
      <c r="J38" s="1" t="n"/>
      <c r="K38" s="1" t="n"/>
    </row>
    <row r="39" ht="12.75" customHeight="1" s="588">
      <c r="A39" s="8" t="inlineStr">
        <is>
          <t>¿EL QUÉ?</t>
        </is>
      </c>
      <c r="B39" s="1" t="n"/>
      <c r="C39" s="1" t="n"/>
      <c r="D39" s="1" t="n"/>
      <c r="E39" s="1" t="n"/>
      <c r="F39" s="1" t="n"/>
      <c r="G39" s="1" t="n"/>
      <c r="H39" s="1" t="n"/>
      <c r="I39" s="1" t="n"/>
      <c r="J39" s="1" t="n"/>
      <c r="K39" s="1" t="n"/>
    </row>
    <row r="40" ht="12.75" customHeight="1" s="588">
      <c r="A40" s="1" t="n"/>
      <c r="B40" s="1" t="n"/>
      <c r="C40" s="1" t="n"/>
      <c r="D40" s="1" t="n"/>
      <c r="E40" s="1" t="n"/>
      <c r="F40" s="1" t="n"/>
      <c r="G40" s="1" t="n"/>
      <c r="H40" s="1" t="n"/>
      <c r="I40" s="1" t="n"/>
      <c r="J40" s="1" t="n"/>
      <c r="K40" s="1" t="n"/>
    </row>
    <row r="41" ht="12.75" customHeight="1" s="588">
      <c r="A41" s="1" t="n"/>
      <c r="B41" s="1" t="n"/>
      <c r="C41" s="1" t="n"/>
      <c r="D41" s="1" t="n"/>
      <c r="E41" s="1" t="n"/>
      <c r="F41" s="1" t="n"/>
      <c r="G41" s="1" t="n"/>
      <c r="H41" s="1" t="n"/>
      <c r="I41" s="1" t="n"/>
      <c r="J41" s="1" t="n"/>
      <c r="K41" s="1" t="n"/>
      <c r="L41" s="16" t="n"/>
      <c r="M41" s="16" t="n"/>
      <c r="N41" s="16" t="n"/>
      <c r="O41" s="16" t="n"/>
      <c r="P41" s="16" t="n"/>
      <c r="Q41" s="16" t="n"/>
      <c r="R41" s="16" t="n"/>
      <c r="S41" s="16" t="n"/>
      <c r="T41" s="16" t="n"/>
      <c r="U41" s="16" t="n"/>
      <c r="V41" s="16" t="n"/>
      <c r="W41" s="16" t="n"/>
      <c r="X41" s="16" t="n"/>
      <c r="Y41" s="16" t="n"/>
      <c r="Z41" s="16" t="n"/>
    </row>
    <row r="42" ht="12.75" customHeight="1" s="588">
      <c r="A42" s="1" t="n"/>
      <c r="B42" s="1" t="n"/>
      <c r="C42" s="1" t="n"/>
      <c r="D42" s="1" t="n"/>
      <c r="E42" s="1" t="n"/>
      <c r="F42" s="130" t="inlineStr">
        <is>
          <t>Matriz Productos/Servicios - Segmentos de Clientes</t>
        </is>
      </c>
      <c r="G42" s="1" t="n"/>
      <c r="H42" s="1" t="n"/>
      <c r="I42" s="1" t="n"/>
      <c r="J42" s="1" t="n"/>
      <c r="K42" s="1" t="n"/>
    </row>
    <row r="43" ht="12.75" customHeight="1" s="588">
      <c r="A43" s="1" t="n"/>
      <c r="B43" s="1" t="n"/>
      <c r="C43" s="1" t="n"/>
      <c r="D43" s="1" t="n"/>
      <c r="E43" s="1" t="n"/>
      <c r="F43" s="1" t="n"/>
      <c r="G43" s="1" t="n"/>
      <c r="H43" s="1" t="n"/>
      <c r="I43" s="1" t="n"/>
      <c r="J43" s="1" t="n"/>
      <c r="K43" s="1" t="n"/>
    </row>
    <row r="44" ht="12.75" customHeight="1" s="588">
      <c r="A44" s="1" t="n"/>
      <c r="B44" s="1" t="n"/>
      <c r="C44" s="1" t="n"/>
      <c r="D44" s="1" t="n"/>
      <c r="E44" s="1" t="n"/>
      <c r="F44" s="1" t="n"/>
      <c r="G44" s="1" t="n"/>
      <c r="H44" s="1" t="n"/>
      <c r="I44" s="1" t="n"/>
      <c r="J44" s="1" t="n"/>
      <c r="K44" s="1" t="n"/>
    </row>
    <row r="45" ht="12.75" customHeight="1" s="588">
      <c r="A45" s="1" t="n"/>
      <c r="B45" s="1" t="n"/>
      <c r="C45" s="1" t="n"/>
      <c r="D45" s="716" t="inlineStr">
        <is>
          <t>Segmento Clientes 1</t>
        </is>
      </c>
      <c r="E45" s="716" t="inlineStr">
        <is>
          <t>Segmento Clientes 2</t>
        </is>
      </c>
      <c r="F45" s="716" t="inlineStr">
        <is>
          <t>Segmento Clientes 3</t>
        </is>
      </c>
      <c r="G45" s="716" t="inlineStr">
        <is>
          <t>Segmento Clientes 4</t>
        </is>
      </c>
      <c r="H45" s="716" t="inlineStr">
        <is>
          <t>Segmento Clientes 5</t>
        </is>
      </c>
      <c r="I45" s="716" t="inlineStr">
        <is>
          <t>Segmentos Alternativos</t>
        </is>
      </c>
      <c r="J45" s="1" t="n"/>
      <c r="K45" s="1" t="n"/>
    </row>
    <row r="46" ht="12.75" customHeight="1" s="588">
      <c r="A46" s="1" t="n"/>
      <c r="B46" s="1" t="n"/>
      <c r="C46" s="1" t="n"/>
      <c r="D46" s="717" t="n"/>
      <c r="E46" s="717" t="n"/>
      <c r="F46" s="717" t="n"/>
      <c r="G46" s="717" t="n"/>
      <c r="H46" s="717" t="n"/>
      <c r="I46" s="717" t="n"/>
      <c r="J46" s="1" t="n"/>
      <c r="K46" s="1" t="n"/>
    </row>
    <row r="47" ht="12.75" customHeight="1" s="588">
      <c r="A47" s="1" t="n"/>
      <c r="B47" s="718">
        <f>A8</f>
        <v/>
      </c>
      <c r="C47" s="611" t="n"/>
      <c r="D47" s="719" t="inlineStr">
        <is>
          <t>SI</t>
        </is>
      </c>
      <c r="E47" s="720" t="inlineStr">
        <is>
          <t>SI</t>
        </is>
      </c>
      <c r="F47" s="720" t="inlineStr">
        <is>
          <t>SI</t>
        </is>
      </c>
      <c r="G47" s="721" t="inlineStr">
        <is>
          <t>SI</t>
        </is>
      </c>
      <c r="H47" s="720" t="n"/>
      <c r="I47" s="722" t="inlineStr">
        <is>
          <t>SI</t>
        </is>
      </c>
      <c r="J47" s="1" t="n"/>
      <c r="K47" s="1" t="n"/>
    </row>
    <row r="48" ht="12.75" customHeight="1" s="588">
      <c r="A48" s="1" t="n"/>
      <c r="B48" s="612" t="n"/>
      <c r="C48" s="613" t="n"/>
      <c r="D48" s="723" t="n"/>
      <c r="E48" s="645" t="n"/>
      <c r="F48" s="645" t="n"/>
      <c r="G48" s="596" t="n"/>
      <c r="H48" s="645" t="n"/>
      <c r="I48" s="724" t="n"/>
      <c r="J48" s="1" t="n"/>
      <c r="K48" s="1" t="n"/>
    </row>
    <row r="49" ht="13.5" customHeight="1" s="588">
      <c r="A49" s="1" t="n"/>
      <c r="B49" s="614" t="n"/>
      <c r="C49" s="616" t="n"/>
      <c r="D49" s="725" t="n"/>
      <c r="E49" s="712" t="n"/>
      <c r="F49" s="712" t="n"/>
      <c r="G49" s="596" t="n"/>
      <c r="H49" s="712" t="n"/>
      <c r="I49" s="726" t="n"/>
      <c r="J49" s="1" t="n"/>
      <c r="K49" s="1" t="n"/>
    </row>
    <row r="50" ht="12.75" customHeight="1" s="588">
      <c r="A50" s="1" t="n"/>
      <c r="B50" s="718">
        <f>IF(A13="","",A13)</f>
        <v/>
      </c>
      <c r="C50" s="611" t="n"/>
      <c r="D50" s="727" t="inlineStr">
        <is>
          <t>SI</t>
        </is>
      </c>
      <c r="E50" s="705" t="n"/>
      <c r="F50" s="705" t="inlineStr">
        <is>
          <t>SI</t>
        </is>
      </c>
      <c r="G50" s="705" t="inlineStr">
        <is>
          <t>SI</t>
        </is>
      </c>
      <c r="H50" s="705" t="n"/>
      <c r="I50" s="728" t="n"/>
      <c r="J50" s="1" t="n"/>
      <c r="K50" s="1" t="n"/>
    </row>
    <row r="51" ht="12.75" customHeight="1" s="588">
      <c r="A51" s="1" t="n"/>
      <c r="B51" s="612" t="n"/>
      <c r="C51" s="613" t="n"/>
      <c r="D51" s="723" t="n"/>
      <c r="E51" s="645" t="n"/>
      <c r="F51" s="645" t="n"/>
      <c r="G51" s="645" t="n"/>
      <c r="H51" s="645" t="n"/>
      <c r="I51" s="613" t="n"/>
      <c r="J51" s="1" t="n"/>
      <c r="K51" s="1" t="n"/>
    </row>
    <row r="52" ht="13.5" customHeight="1" s="588">
      <c r="A52" s="1" t="n"/>
      <c r="B52" s="614" t="n"/>
      <c r="C52" s="616" t="n"/>
      <c r="D52" s="725" t="n"/>
      <c r="E52" s="712" t="n"/>
      <c r="F52" s="712" t="n"/>
      <c r="G52" s="712" t="n"/>
      <c r="H52" s="712" t="n"/>
      <c r="I52" s="678" t="n"/>
      <c r="J52" s="1" t="n"/>
      <c r="K52" s="1" t="n"/>
    </row>
    <row r="53" ht="12.75" customHeight="1" s="588">
      <c r="A53" s="1" t="n"/>
      <c r="B53" s="718">
        <f>IF(A18="","",A18)</f>
        <v/>
      </c>
      <c r="C53" s="611" t="n"/>
      <c r="D53" s="727" t="inlineStr">
        <is>
          <t>SI</t>
        </is>
      </c>
      <c r="E53" s="705" t="inlineStr">
        <is>
          <t>SI</t>
        </is>
      </c>
      <c r="F53" s="705" t="inlineStr">
        <is>
          <t>SI</t>
        </is>
      </c>
      <c r="G53" s="705" t="inlineStr">
        <is>
          <t>SI</t>
        </is>
      </c>
      <c r="H53" s="705" t="n"/>
      <c r="I53" s="729" t="inlineStr">
        <is>
          <t>SI</t>
        </is>
      </c>
      <c r="J53" s="1" t="n"/>
      <c r="K53" s="1" t="n"/>
    </row>
    <row r="54" ht="12.75" customHeight="1" s="588">
      <c r="A54" s="1" t="n"/>
      <c r="B54" s="612" t="n"/>
      <c r="C54" s="613" t="n"/>
      <c r="D54" s="723" t="n"/>
      <c r="E54" s="645" t="n"/>
      <c r="F54" s="645" t="n"/>
      <c r="G54" s="645" t="n"/>
      <c r="H54" s="645" t="n"/>
      <c r="I54" s="613" t="n"/>
      <c r="J54" s="1" t="n"/>
      <c r="K54" s="1" t="n"/>
    </row>
    <row r="55" ht="13.5" customHeight="1" s="588">
      <c r="A55" s="1" t="n"/>
      <c r="B55" s="614" t="n"/>
      <c r="C55" s="616" t="n"/>
      <c r="D55" s="725" t="n"/>
      <c r="E55" s="712" t="n"/>
      <c r="F55" s="712" t="n"/>
      <c r="G55" s="712" t="n"/>
      <c r="H55" s="712" t="n"/>
      <c r="I55" s="678" t="n"/>
      <c r="J55" s="1" t="n"/>
      <c r="K55" s="1" t="n"/>
    </row>
    <row r="56" ht="12.75" customHeight="1" s="588">
      <c r="A56" s="1" t="n"/>
      <c r="B56" s="718">
        <f>IF(A23="","",A23)</f>
        <v/>
      </c>
      <c r="C56" s="611" t="n"/>
      <c r="D56" s="727" t="inlineStr">
        <is>
          <t>SI</t>
        </is>
      </c>
      <c r="E56" s="705" t="inlineStr">
        <is>
          <t>SI</t>
        </is>
      </c>
      <c r="F56" s="705" t="inlineStr">
        <is>
          <t>SI</t>
        </is>
      </c>
      <c r="G56" s="705" t="inlineStr">
        <is>
          <t>SI</t>
        </is>
      </c>
      <c r="H56" s="705" t="n"/>
      <c r="I56" s="729" t="inlineStr">
        <is>
          <t>SI</t>
        </is>
      </c>
      <c r="J56" s="1" t="n"/>
      <c r="K56" s="1" t="n"/>
    </row>
    <row r="57" ht="12.75" customHeight="1" s="588">
      <c r="A57" s="1" t="n"/>
      <c r="B57" s="612" t="n"/>
      <c r="C57" s="613" t="n"/>
      <c r="D57" s="723" t="n"/>
      <c r="E57" s="645" t="n"/>
      <c r="F57" s="645" t="n"/>
      <c r="G57" s="645" t="n"/>
      <c r="H57" s="645" t="n"/>
      <c r="I57" s="613" t="n"/>
      <c r="J57" s="1" t="n"/>
      <c r="K57" s="1" t="n"/>
    </row>
    <row r="58" ht="13.5" customHeight="1" s="588">
      <c r="A58" s="1" t="n"/>
      <c r="B58" s="614" t="n"/>
      <c r="C58" s="616" t="n"/>
      <c r="D58" s="725" t="n"/>
      <c r="E58" s="712" t="n"/>
      <c r="F58" s="712" t="n"/>
      <c r="G58" s="712" t="n"/>
      <c r="H58" s="712" t="n"/>
      <c r="I58" s="678" t="n"/>
      <c r="J58" s="1" t="n"/>
      <c r="K58" s="1" t="n"/>
    </row>
    <row r="59" ht="12.75" customHeight="1" s="588">
      <c r="A59" s="1" t="n"/>
      <c r="B59" s="718">
        <f>IF(A28="","",A28)</f>
        <v/>
      </c>
      <c r="C59" s="611" t="n"/>
      <c r="D59" s="730" t="inlineStr">
        <is>
          <t>SI</t>
        </is>
      </c>
      <c r="E59" s="731" t="inlineStr">
        <is>
          <t>SI</t>
        </is>
      </c>
      <c r="F59" s="731" t="inlineStr">
        <is>
          <t>SI</t>
        </is>
      </c>
      <c r="G59" s="731" t="inlineStr">
        <is>
          <t>SI</t>
        </is>
      </c>
      <c r="H59" s="731" t="n"/>
      <c r="I59" s="732" t="n"/>
      <c r="J59" s="1" t="n"/>
      <c r="K59" s="1" t="n"/>
    </row>
    <row r="60" ht="12.75" customHeight="1" s="588">
      <c r="A60" s="1" t="n"/>
      <c r="B60" s="612" t="n"/>
      <c r="C60" s="613" t="n"/>
      <c r="D60" s="723" t="n"/>
      <c r="E60" s="645" t="n"/>
      <c r="F60" s="645" t="n"/>
      <c r="G60" s="645" t="n"/>
      <c r="H60" s="645" t="n"/>
      <c r="I60" s="724" t="n"/>
      <c r="J60" s="1" t="n"/>
      <c r="K60" s="1" t="n"/>
    </row>
    <row r="61" ht="13.5" customHeight="1" s="588">
      <c r="A61" s="1" t="n"/>
      <c r="B61" s="614" t="n"/>
      <c r="C61" s="616" t="n"/>
      <c r="D61" s="733" t="n"/>
      <c r="E61" s="734" t="n"/>
      <c r="F61" s="734" t="n"/>
      <c r="G61" s="734" t="n"/>
      <c r="H61" s="734" t="n"/>
      <c r="I61" s="735" t="n"/>
      <c r="J61" s="1" t="n"/>
      <c r="K61" s="1" t="n"/>
    </row>
    <row r="62" ht="12.75" customHeight="1" s="588">
      <c r="A62" s="1" t="n"/>
      <c r="B62" s="1" t="n"/>
      <c r="C62" s="1" t="n"/>
      <c r="D62" s="1" t="n"/>
      <c r="E62" s="1" t="n"/>
      <c r="F62" s="1" t="n"/>
      <c r="G62" s="1" t="n"/>
      <c r="H62" s="1" t="n"/>
      <c r="I62" s="1" t="n"/>
      <c r="J62" s="1" t="n"/>
      <c r="K62" s="1" t="n"/>
    </row>
    <row r="63" ht="12.75" customHeight="1" s="588">
      <c r="A63" s="1" t="n"/>
      <c r="B63" s="1" t="n"/>
      <c r="C63" s="1" t="n"/>
      <c r="D63" s="1" t="n"/>
      <c r="E63" s="1" t="n"/>
      <c r="F63" s="1" t="n"/>
      <c r="G63" s="1" t="n"/>
      <c r="H63" s="1" t="n"/>
      <c r="I63" s="1" t="n"/>
      <c r="J63" s="1" t="n"/>
      <c r="K63" s="1" t="n"/>
    </row>
    <row r="64" ht="12.75" customHeight="1" s="588">
      <c r="A64" s="1" t="n"/>
      <c r="B64" s="1" t="n"/>
      <c r="C64" s="1" t="n"/>
      <c r="D64" s="1" t="n"/>
      <c r="E64" s="1" t="n"/>
      <c r="F64" s="1" t="n"/>
      <c r="G64" s="1" t="n"/>
      <c r="H64" s="1" t="n"/>
      <c r="I64" s="1" t="n"/>
      <c r="J64" s="1" t="n"/>
      <c r="K64" s="1" t="n"/>
    </row>
    <row r="65" hidden="1" ht="12.75" customHeight="1" s="588">
      <c r="A65" s="1" t="n"/>
      <c r="B65" s="1" t="n"/>
      <c r="C65" s="1" t="n"/>
      <c r="D65" s="281" t="inlineStr">
        <is>
          <t>SI</t>
        </is>
      </c>
      <c r="E65" s="1" t="n"/>
      <c r="F65" s="1" t="n"/>
      <c r="G65" s="1" t="n"/>
      <c r="H65" s="1" t="n"/>
      <c r="I65" s="1" t="n"/>
      <c r="J65" s="1" t="n"/>
      <c r="K65" s="1" t="n"/>
    </row>
    <row r="66" ht="12.75" customHeight="1" s="588">
      <c r="A66" s="1" t="n"/>
      <c r="B66" s="1" t="n"/>
      <c r="C66" s="1" t="n"/>
      <c r="D66" s="1" t="n"/>
      <c r="E66" s="1" t="n"/>
      <c r="F66" s="1" t="n"/>
      <c r="G66" s="1" t="n"/>
      <c r="H66" s="1" t="n"/>
      <c r="I66" s="1" t="n"/>
      <c r="J66" s="1" t="n"/>
      <c r="K66" s="1" t="n"/>
    </row>
    <row r="67" ht="12.75" customHeight="1" s="588">
      <c r="A67" s="1" t="n"/>
      <c r="B67" s="1" t="n"/>
      <c r="C67" s="1" t="n"/>
      <c r="D67" s="1" t="n"/>
      <c r="E67" s="1" t="n"/>
      <c r="F67" s="1" t="n"/>
      <c r="G67" s="1" t="n"/>
      <c r="H67" s="1" t="n"/>
      <c r="I67" s="1" t="n"/>
      <c r="J67" s="1" t="n"/>
      <c r="K67" s="1" t="n"/>
    </row>
    <row r="68" ht="12.75" customHeight="1" s="588">
      <c r="A68" s="1" t="n"/>
      <c r="B68" s="1" t="n"/>
      <c r="C68" s="1" t="n"/>
      <c r="D68" s="1" t="n"/>
      <c r="E68" s="1" t="n"/>
      <c r="F68" s="1" t="n"/>
      <c r="G68" s="1" t="n"/>
      <c r="H68" s="1" t="n"/>
      <c r="I68" s="1" t="n"/>
      <c r="J68" s="1" t="n"/>
      <c r="K68" s="1" t="n"/>
    </row>
    <row r="69" ht="12.75" customHeight="1" s="588">
      <c r="A69" s="1" t="n"/>
      <c r="B69" s="1" t="n"/>
      <c r="C69" s="1" t="n"/>
      <c r="D69" s="1" t="n"/>
      <c r="E69" s="1" t="n"/>
      <c r="F69" s="1" t="n"/>
      <c r="G69" s="1" t="n"/>
      <c r="H69" s="1" t="n"/>
      <c r="I69" s="1" t="n"/>
      <c r="J69" s="1" t="n"/>
      <c r="K69" s="1" t="n"/>
    </row>
    <row r="70" ht="12.75" customHeight="1" s="588">
      <c r="A70" s="1" t="n"/>
      <c r="B70" s="1" t="n"/>
      <c r="C70" s="1" t="n"/>
      <c r="D70" s="1" t="n"/>
      <c r="E70" s="1" t="n"/>
      <c r="F70" s="1" t="n"/>
      <c r="G70" s="1" t="n"/>
      <c r="H70" s="1" t="n"/>
      <c r="I70" s="1" t="n"/>
      <c r="J70" s="1" t="n"/>
      <c r="K70" s="1" t="n"/>
    </row>
    <row r="71" ht="12.75" customHeight="1" s="588">
      <c r="A71" s="1" t="n"/>
      <c r="B71" s="1" t="n"/>
      <c r="C71" s="1" t="n"/>
      <c r="D71" s="1" t="n"/>
      <c r="E71" s="1" t="n"/>
      <c r="F71" s="1" t="n"/>
      <c r="G71" s="1" t="n"/>
      <c r="H71" s="1" t="n"/>
      <c r="I71" s="1" t="n"/>
      <c r="J71" s="1" t="n"/>
      <c r="K71" s="1" t="n"/>
    </row>
    <row r="72" ht="12.75" customHeight="1" s="588">
      <c r="A72" s="1" t="n"/>
      <c r="B72" s="1" t="n"/>
      <c r="C72" s="1" t="n"/>
      <c r="D72" s="1" t="n"/>
      <c r="E72" s="1" t="n"/>
      <c r="F72" s="1" t="n"/>
      <c r="G72" s="1" t="n"/>
      <c r="H72" s="1" t="n"/>
      <c r="I72" s="1" t="n"/>
      <c r="J72" s="1" t="n"/>
      <c r="K72" s="1" t="n"/>
    </row>
    <row r="73" ht="12.75" customHeight="1" s="588">
      <c r="A73" s="1" t="n"/>
      <c r="B73" s="1" t="n"/>
      <c r="C73" s="1" t="n"/>
      <c r="D73" s="1" t="n"/>
      <c r="E73" s="1" t="n"/>
      <c r="F73" s="1" t="n"/>
      <c r="G73" s="1" t="n"/>
      <c r="H73" s="1" t="n"/>
      <c r="I73" s="1" t="n"/>
      <c r="J73" s="1" t="n"/>
      <c r="K73" s="1" t="n"/>
    </row>
    <row r="74" ht="12.75" customHeight="1" s="588">
      <c r="A74" s="1" t="n"/>
      <c r="B74" s="1" t="n"/>
      <c r="C74" s="1" t="n"/>
      <c r="D74" s="1" t="n"/>
      <c r="E74" s="1" t="n"/>
      <c r="F74" s="1" t="n"/>
      <c r="G74" s="1" t="n"/>
      <c r="H74" s="1" t="n"/>
      <c r="I74" s="1" t="n"/>
      <c r="J74" s="1" t="n"/>
      <c r="K74" s="1" t="n"/>
    </row>
    <row r="75" ht="12.75" customHeight="1" s="588">
      <c r="A75" s="8" t="inlineStr">
        <is>
          <t>¿EL QUÉ?</t>
        </is>
      </c>
      <c r="B75" s="1" t="n"/>
      <c r="C75" s="1" t="n"/>
      <c r="D75" s="1" t="n"/>
      <c r="E75" s="1" t="n"/>
      <c r="F75" s="1" t="n"/>
      <c r="G75" s="1" t="n"/>
      <c r="H75" s="1" t="n"/>
      <c r="I75" s="1" t="n"/>
      <c r="J75" s="1" t="n"/>
      <c r="K75" s="1" t="n"/>
    </row>
    <row r="76" ht="12.75" customHeight="1" s="588">
      <c r="A76" s="1" t="n"/>
      <c r="B76" s="1" t="n"/>
      <c r="C76" s="1" t="n"/>
      <c r="D76" s="1" t="n"/>
      <c r="E76" s="1" t="n"/>
      <c r="F76" s="1" t="n"/>
      <c r="G76" s="1" t="n"/>
      <c r="H76" s="1" t="n"/>
      <c r="I76" s="1" t="n"/>
      <c r="J76" s="1" t="n"/>
      <c r="K76" s="1" t="n"/>
    </row>
    <row r="77" ht="12.75" customHeight="1" s="588">
      <c r="A77" s="1" t="n"/>
      <c r="B77" s="1" t="n"/>
      <c r="C77" s="1" t="n"/>
      <c r="D77" s="1" t="n"/>
      <c r="E77" s="1" t="n"/>
      <c r="F77" s="1" t="n"/>
      <c r="G77" s="1" t="n"/>
      <c r="H77" s="1" t="n"/>
      <c r="I77" s="1" t="n"/>
      <c r="J77" s="1" t="n"/>
      <c r="K77" s="1" t="n"/>
      <c r="L77" s="16" t="n"/>
      <c r="M77" s="16" t="n"/>
      <c r="N77" s="16" t="n"/>
      <c r="O77" s="16" t="n"/>
      <c r="P77" s="16" t="n"/>
      <c r="Q77" s="16" t="n"/>
      <c r="R77" s="16" t="n"/>
      <c r="S77" s="16" t="n"/>
      <c r="T77" s="16" t="n"/>
      <c r="U77" s="16" t="n"/>
      <c r="V77" s="16" t="n"/>
      <c r="W77" s="16" t="n"/>
      <c r="X77" s="16" t="n"/>
      <c r="Y77" s="16" t="n"/>
      <c r="Z77" s="16" t="n"/>
    </row>
    <row r="78" ht="12.75" customHeight="1" s="588">
      <c r="A78" s="1" t="n"/>
      <c r="B78" s="1" t="n"/>
      <c r="C78" s="1" t="n"/>
      <c r="D78" s="1" t="n"/>
      <c r="E78" s="1" t="n"/>
      <c r="F78" s="62" t="inlineStr">
        <is>
          <t>Alianzas Estratégicas</t>
        </is>
      </c>
      <c r="G78" s="1" t="n"/>
      <c r="H78" s="1" t="n"/>
      <c r="I78" s="1" t="n"/>
      <c r="J78" s="1" t="n"/>
      <c r="K78" s="1" t="n"/>
    </row>
    <row r="79" ht="12.75" customHeight="1" s="588">
      <c r="A79" s="1" t="n"/>
      <c r="B79" s="1" t="n"/>
      <c r="C79" s="1" t="n"/>
      <c r="D79" s="1" t="n"/>
      <c r="E79" s="1" t="n"/>
      <c r="F79" s="1" t="n"/>
      <c r="G79" s="1" t="n"/>
      <c r="H79" s="1" t="n"/>
      <c r="I79" s="1" t="n"/>
      <c r="J79" s="1" t="n"/>
      <c r="K79" s="1" t="n"/>
    </row>
    <row r="80" ht="12.75" customHeight="1" s="588">
      <c r="A80" s="696" t="inlineStr">
        <is>
          <t>ALIANZAS ESTRATÉGICAS
1. PARTNER TECNOLÓGICO DE HOSTING GESTIONADO. Acuerdo a medio plazo con cuota periódica y programa de revendedor con proveedores españoles (Webempresa, Siteground, Arsys, Ionos, Gigas, Acens). Es lo que permite ofrecer la cuota de mantenimiento con margen y sin infraestructura propia. Exigir portabilidad y sin permanencia larga: los proveedores de este sector son sustituibles y no conviene quedar atrapada.
2. GESTORÍAS Y ASESORIAS DE PONFERRADA (prescriptores). Son quienes están acompañando a los micronegocios en la transición a la factura electrónica obligatoria y tienen la confianza del decisor. Acuerdo de comisión por cliente derivado.
3. IMPRENTAS Y ROTULACIÓN DEL BIERZO. Alianza cruzada: ellos derivan el trabajo web que no cubren, este negocio les deriva toda la producción impresa. Coste de captación cero para ambos.
4. AGENCIAS DE MARKETING DE LEÓN Y PONFERRADA. Subcontratación de producción web y gráfica cuando les desborda la carga. Margen menor pero flujo estable y sin coste comercial.
5. CONSEJO REGULADOR DE LA DO BIERZO, CÁMARA DE COMERCIO DE LEÓN Y CONFEBIERZO. Acceso al vertical de bodegas y credibilidad institucional en la comarca.
6. CENTRO DE INNOVACIÓN Y EMPRENDIMIENTO DE PONFERRADA. Red de contactos, visibilidad y acceso a programas de apoyo municipales.
7. FREELANCES DE PRODUCCIÓN (desarrollo, redacción, fotografía). Red de colaboradores para absorber picos sin crear estructura fija. Es la valvula que permite aceptar un proyecto grande sin contratar.</t>
        </is>
      </c>
      <c r="B80" s="593" t="n"/>
      <c r="C80" s="593" t="n"/>
      <c r="D80" s="593" t="n"/>
      <c r="E80" s="593" t="n"/>
      <c r="F80" s="593" t="n"/>
      <c r="G80" s="593" t="n"/>
      <c r="H80" s="593" t="n"/>
      <c r="I80" s="593" t="n"/>
      <c r="J80" s="593" t="n"/>
      <c r="K80" s="594" t="n"/>
    </row>
    <row r="81" ht="12.75" customHeight="1" s="588">
      <c r="A81" s="595" t="n"/>
      <c r="K81" s="596" t="n"/>
    </row>
    <row r="82" ht="12.75" customHeight="1" s="588">
      <c r="A82" s="595" t="n"/>
      <c r="K82" s="596" t="n"/>
    </row>
    <row r="83" ht="12.75" customHeight="1" s="588">
      <c r="A83" s="595" t="n"/>
      <c r="K83" s="596" t="n"/>
    </row>
    <row r="84" ht="12.75" customHeight="1" s="588">
      <c r="A84" s="595" t="n"/>
      <c r="K84" s="596" t="n"/>
    </row>
    <row r="85" ht="12.75" customHeight="1" s="588">
      <c r="A85" s="595" t="n"/>
      <c r="K85" s="596" t="n"/>
    </row>
    <row r="86" ht="12.75" customHeight="1" s="588">
      <c r="A86" s="595" t="n"/>
      <c r="K86" s="596" t="n"/>
    </row>
    <row r="87" ht="12.75" customHeight="1" s="588">
      <c r="A87" s="595" t="n"/>
      <c r="K87" s="596" t="n"/>
    </row>
    <row r="88" ht="12.75" customHeight="1" s="588">
      <c r="A88" s="595" t="n"/>
      <c r="K88" s="596" t="n"/>
    </row>
    <row r="89" ht="12.75" customHeight="1" s="588">
      <c r="A89" s="595" t="n"/>
      <c r="K89" s="596" t="n"/>
    </row>
    <row r="90" ht="12.75" customHeight="1" s="588">
      <c r="A90" s="595" t="n"/>
      <c r="K90" s="596" t="n"/>
    </row>
    <row r="91" ht="12.75" customHeight="1" s="588">
      <c r="A91" s="595" t="n"/>
      <c r="K91" s="596" t="n"/>
    </row>
    <row r="92" ht="12.75" customHeight="1" s="588">
      <c r="A92" s="595" t="n"/>
      <c r="K92" s="596" t="n"/>
    </row>
    <row r="93" ht="12.75" customHeight="1" s="588">
      <c r="A93" s="595" t="n"/>
      <c r="K93" s="596" t="n"/>
    </row>
    <row r="94" ht="12.75" customHeight="1" s="588">
      <c r="A94" s="595" t="n"/>
      <c r="K94" s="596" t="n"/>
    </row>
    <row r="95" ht="12.75" customHeight="1" s="588">
      <c r="A95" s="595" t="n"/>
      <c r="K95" s="596" t="n"/>
    </row>
    <row r="96" ht="12.75" customHeight="1" s="588">
      <c r="A96" s="595" t="n"/>
      <c r="K96" s="596" t="n"/>
    </row>
    <row r="97" ht="12.75" customHeight="1" s="588">
      <c r="A97" s="595" t="n"/>
      <c r="K97" s="596" t="n"/>
      <c r="L97" s="16" t="n"/>
      <c r="M97" s="16" t="n"/>
      <c r="N97" s="16" t="n"/>
      <c r="O97" s="16" t="n"/>
      <c r="P97" s="16" t="n"/>
      <c r="Q97" s="16" t="n"/>
      <c r="R97" s="16" t="n"/>
      <c r="S97" s="16" t="n"/>
      <c r="T97" s="16" t="n"/>
      <c r="U97" s="16" t="n"/>
      <c r="V97" s="16" t="n"/>
      <c r="W97" s="16" t="n"/>
      <c r="X97" s="16" t="n"/>
      <c r="Y97" s="16" t="n"/>
      <c r="Z97" s="16" t="n"/>
    </row>
    <row r="98" ht="12.75" customHeight="1" s="588">
      <c r="A98" s="595" t="n"/>
      <c r="K98" s="596" t="n"/>
      <c r="L98" s="16" t="n"/>
      <c r="M98" s="16" t="n"/>
      <c r="N98" s="16" t="n"/>
      <c r="O98" s="16" t="n"/>
      <c r="P98" s="16" t="n"/>
      <c r="Q98" s="16" t="n"/>
      <c r="R98" s="16" t="n"/>
      <c r="S98" s="16" t="n"/>
      <c r="T98" s="16" t="n"/>
      <c r="U98" s="16" t="n"/>
      <c r="V98" s="16" t="n"/>
      <c r="W98" s="16" t="n"/>
      <c r="X98" s="16" t="n"/>
      <c r="Y98" s="16" t="n"/>
      <c r="Z98" s="16" t="n"/>
    </row>
    <row r="99" ht="12.75" customHeight="1" s="588">
      <c r="A99" s="595" t="n"/>
      <c r="K99" s="596" t="n"/>
    </row>
    <row r="100" ht="12.75" customHeight="1" s="588">
      <c r="A100" s="595" t="n"/>
      <c r="K100" s="596" t="n"/>
    </row>
    <row r="101" ht="12.75" customHeight="1" s="588">
      <c r="A101" s="595" t="n"/>
      <c r="K101" s="596" t="n"/>
    </row>
    <row r="102" ht="12.75" customHeight="1" s="588">
      <c r="A102" s="595" t="n"/>
      <c r="K102" s="596" t="n"/>
    </row>
    <row r="103" ht="12.75" customHeight="1" s="588">
      <c r="A103" s="595" t="n"/>
      <c r="K103" s="596" t="n"/>
    </row>
    <row r="104" ht="12.75" customHeight="1" s="588">
      <c r="A104" s="595" t="n"/>
      <c r="K104" s="596" t="n"/>
    </row>
    <row r="105" ht="12.75" customHeight="1" s="588">
      <c r="A105" s="595" t="n"/>
      <c r="K105" s="596" t="n"/>
    </row>
    <row r="106" ht="12.75" customHeight="1" s="588">
      <c r="A106" s="595" t="n"/>
      <c r="K106" s="596" t="n"/>
    </row>
    <row r="107" ht="12.75" customHeight="1" s="588">
      <c r="A107" s="595" t="n"/>
      <c r="K107" s="596" t="n"/>
    </row>
    <row r="108" ht="12.75" customHeight="1" s="588">
      <c r="A108" s="595" t="n"/>
      <c r="K108" s="596" t="n"/>
    </row>
    <row r="109" ht="12.75" customHeight="1" s="588">
      <c r="A109" s="597" t="n"/>
      <c r="B109" s="598" t="n"/>
      <c r="C109" s="598" t="n"/>
      <c r="D109" s="598" t="n"/>
      <c r="E109" s="598" t="n"/>
      <c r="F109" s="598" t="n"/>
      <c r="G109" s="598" t="n"/>
      <c r="H109" s="598" t="n"/>
      <c r="I109" s="598" t="n"/>
      <c r="J109" s="598" t="n"/>
      <c r="K109" s="599" t="n"/>
    </row>
    <row r="110" ht="12.75" customHeight="1" s="588">
      <c r="A110" s="1" t="n"/>
      <c r="B110" s="1" t="n"/>
      <c r="C110" s="1" t="n"/>
      <c r="D110" s="1" t="n"/>
      <c r="E110" s="1" t="n"/>
      <c r="F110" s="1" t="n"/>
      <c r="G110" s="1" t="n"/>
      <c r="H110" s="1" t="n"/>
      <c r="I110" s="1" t="n"/>
      <c r="J110" s="1" t="n"/>
      <c r="K110" s="1" t="n"/>
    </row>
    <row r="111" ht="12.75" customHeight="1" s="588">
      <c r="A111" s="8" t="inlineStr">
        <is>
          <t>¿EL QUÉ?</t>
        </is>
      </c>
      <c r="B111" s="1" t="n"/>
      <c r="C111" s="1" t="n"/>
      <c r="D111" s="1" t="n"/>
      <c r="E111" s="1" t="n"/>
      <c r="F111" s="1" t="n"/>
      <c r="G111" s="1" t="n"/>
      <c r="H111" s="1" t="n"/>
      <c r="I111" s="1" t="n"/>
      <c r="J111" s="1" t="n"/>
      <c r="K111" s="1" t="n"/>
    </row>
    <row r="112" ht="12.75" customHeight="1" s="588">
      <c r="A112" s="1" t="n"/>
      <c r="B112" s="1" t="n"/>
      <c r="C112" s="1" t="n"/>
      <c r="D112" s="1" t="n"/>
      <c r="E112" s="1" t="n"/>
      <c r="F112" s="1" t="n"/>
      <c r="G112" s="1" t="n"/>
      <c r="H112" s="1" t="n"/>
      <c r="I112" s="1" t="n"/>
      <c r="J112" s="1" t="n"/>
      <c r="K112" s="1" t="n"/>
    </row>
    <row r="113" ht="12.75" customHeight="1" s="588">
      <c r="A113" s="1" t="n"/>
      <c r="B113" s="1" t="n"/>
      <c r="C113" s="1" t="n"/>
      <c r="D113" s="1" t="n"/>
      <c r="E113" s="1" t="n"/>
      <c r="F113" s="1" t="n"/>
      <c r="G113" s="1" t="n"/>
      <c r="H113" s="1" t="n"/>
      <c r="I113" s="1" t="n"/>
      <c r="J113" s="1" t="n"/>
      <c r="K113" s="1" t="n"/>
      <c r="L113" s="16" t="n"/>
      <c r="M113" s="16" t="n"/>
      <c r="N113" s="16" t="n"/>
      <c r="O113" s="16" t="n"/>
      <c r="P113" s="16" t="n"/>
      <c r="Q113" s="16" t="n"/>
      <c r="R113" s="16" t="n"/>
      <c r="S113" s="16" t="n"/>
      <c r="T113" s="16" t="n"/>
      <c r="U113" s="16" t="n"/>
      <c r="V113" s="16" t="n"/>
      <c r="W113" s="16" t="n"/>
      <c r="X113" s="16" t="n"/>
      <c r="Y113" s="16" t="n"/>
      <c r="Z113" s="16" t="n"/>
    </row>
    <row r="114" ht="12.75" customHeight="1" s="588">
      <c r="A114" s="1" t="n"/>
      <c r="B114" s="1" t="n"/>
      <c r="C114" s="1" t="n"/>
      <c r="D114" s="1" t="n"/>
      <c r="E114" s="1" t="n"/>
      <c r="F114" s="62" t="inlineStr">
        <is>
          <t>RESUMEN</t>
        </is>
      </c>
      <c r="G114" s="1" t="n"/>
      <c r="H114" s="1" t="n"/>
      <c r="I114" s="1" t="n"/>
      <c r="J114" s="1" t="n"/>
      <c r="K114" s="1" t="n"/>
    </row>
    <row r="115" ht="12.75" customHeight="1" s="588">
      <c r="A115" s="1" t="n"/>
      <c r="B115" s="1" t="n"/>
      <c r="C115" s="1" t="n"/>
      <c r="D115" s="1" t="n"/>
      <c r="E115" s="1" t="n"/>
      <c r="F115" s="1" t="n"/>
      <c r="G115" s="1" t="n"/>
      <c r="H115" s="1" t="n"/>
      <c r="I115" s="1" t="n"/>
      <c r="J115" s="1" t="n"/>
      <c r="K115" s="1" t="n"/>
    </row>
    <row r="116" ht="12.75" customHeight="1" s="588">
      <c r="A116" s="1" t="n"/>
      <c r="B116" s="1" t="n"/>
      <c r="C116" s="1" t="n"/>
      <c r="D116" s="1" t="n"/>
      <c r="E116" s="1" t="n"/>
      <c r="F116" s="1" t="n"/>
      <c r="G116" s="1" t="n"/>
      <c r="H116" s="1" t="n"/>
      <c r="I116" s="1" t="n"/>
      <c r="J116" s="1" t="n"/>
      <c r="K116" s="1" t="n"/>
    </row>
    <row r="117" ht="12.75" customHeight="1" s="588">
      <c r="A117" s="1" t="n"/>
      <c r="B117" s="1" t="n"/>
      <c r="C117" s="1" t="n"/>
      <c r="D117" s="1" t="n"/>
      <c r="E117" s="1" t="n"/>
      <c r="F117" s="1" t="n"/>
      <c r="G117" s="1" t="n"/>
      <c r="H117" s="1" t="n"/>
      <c r="I117" s="1" t="n"/>
      <c r="J117" s="1" t="n"/>
      <c r="K117" s="1" t="n"/>
    </row>
    <row r="118" ht="12.75" customHeight="1" s="588">
      <c r="A118" s="1" t="n"/>
      <c r="B118" s="1" t="n"/>
      <c r="C118" s="1" t="n"/>
      <c r="D118" s="1" t="n"/>
      <c r="E118" s="1" t="n"/>
      <c r="F118" s="1" t="n"/>
      <c r="G118" s="1" t="n"/>
      <c r="H118" s="1" t="n"/>
      <c r="I118" s="1" t="n"/>
      <c r="J118" s="1" t="n"/>
      <c r="K118" s="1" t="n"/>
    </row>
    <row r="119" ht="12.75" customHeight="1" s="588">
      <c r="A119" s="1" t="n"/>
      <c r="B119" s="1" t="n"/>
      <c r="C119" s="1" t="n"/>
      <c r="D119" s="1" t="n"/>
      <c r="E119" s="1" t="n"/>
      <c r="F119" s="1" t="n"/>
      <c r="G119" s="1" t="n"/>
      <c r="H119" s="1" t="n"/>
      <c r="I119" s="1" t="n"/>
      <c r="J119" s="1" t="n"/>
      <c r="K119" s="1" t="n"/>
    </row>
    <row r="120" ht="12.75" customHeight="1" s="588">
      <c r="A120" s="1" t="n"/>
      <c r="B120" s="1" t="n"/>
      <c r="C120" s="1" t="n"/>
      <c r="D120" s="1" t="n"/>
      <c r="E120" s="1" t="n"/>
      <c r="F120" s="1" t="n"/>
      <c r="G120" s="1" t="n"/>
      <c r="H120" s="1" t="n"/>
      <c r="I120" s="1" t="n"/>
      <c r="J120" s="1" t="n"/>
      <c r="K120" s="1" t="n"/>
    </row>
    <row r="121" ht="12.75" customHeight="1" s="588">
      <c r="A121" s="1" t="n"/>
      <c r="B121" s="1" t="n"/>
      <c r="C121" s="1" t="n"/>
      <c r="D121" s="1" t="n"/>
      <c r="E121" s="1" t="n"/>
      <c r="F121" s="1" t="n"/>
      <c r="G121" s="1" t="n"/>
      <c r="H121" s="1" t="n"/>
      <c r="I121" s="1" t="n"/>
      <c r="J121" s="1" t="n"/>
      <c r="K121" s="1" t="n"/>
    </row>
    <row r="122" ht="12.75" customHeight="1" s="588">
      <c r="A122" s="1" t="n"/>
      <c r="B122" s="1" t="n"/>
      <c r="C122" s="658" t="inlineStr">
        <is>
          <t>Web, diseño gráfico y servicios recurrentes</t>
        </is>
      </c>
      <c r="D122" s="610" t="n"/>
      <c r="E122" s="610" t="n"/>
      <c r="F122" s="610" t="n"/>
      <c r="G122" s="610" t="n"/>
      <c r="H122" s="610" t="n"/>
      <c r="I122" s="610" t="n"/>
      <c r="J122" s="611" t="n"/>
      <c r="K122" s="1" t="n"/>
    </row>
    <row r="123" ht="12.75" customHeight="1" s="588">
      <c r="A123" s="1" t="n"/>
      <c r="B123" s="1" t="n"/>
      <c r="C123" s="612" t="n"/>
      <c r="J123" s="613" t="n"/>
      <c r="K123" s="1" t="n"/>
    </row>
    <row r="124" ht="12.75" customHeight="1" s="588">
      <c r="A124" s="1" t="n"/>
      <c r="B124" s="1" t="n"/>
      <c r="C124" s="612" t="n"/>
      <c r="J124" s="613" t="n"/>
      <c r="K124" s="1" t="n"/>
    </row>
    <row r="125" ht="12.75" customHeight="1" s="588">
      <c r="A125" s="1" t="n"/>
      <c r="B125" s="1" t="n"/>
      <c r="C125" s="612" t="n"/>
      <c r="J125" s="613" t="n"/>
      <c r="K125" s="1" t="n"/>
    </row>
    <row r="126" ht="12.75" customHeight="1" s="588">
      <c r="A126" s="1" t="n"/>
      <c r="B126" s="1" t="n"/>
      <c r="C126" s="612" t="n"/>
      <c r="J126" s="613" t="n"/>
      <c r="K126" s="1" t="n"/>
    </row>
    <row r="127" ht="13.5" customHeight="1" s="588">
      <c r="A127" s="1" t="n"/>
      <c r="B127" s="1" t="n"/>
      <c r="C127" s="614" t="n"/>
      <c r="D127" s="615" t="n"/>
      <c r="E127" s="615" t="n"/>
      <c r="F127" s="615" t="n"/>
      <c r="G127" s="615" t="n"/>
      <c r="H127" s="615" t="n"/>
      <c r="I127" s="615" t="n"/>
      <c r="J127" s="616" t="n"/>
      <c r="K127" s="1" t="n"/>
    </row>
    <row r="128" ht="12.75" customHeight="1" s="588">
      <c r="A128" s="1" t="n"/>
      <c r="B128" s="1" t="n"/>
      <c r="C128" s="1" t="n"/>
      <c r="D128" s="1" t="n"/>
      <c r="E128" s="1" t="n"/>
      <c r="F128" s="1" t="n"/>
      <c r="G128" s="1" t="n"/>
      <c r="H128" s="1" t="n"/>
      <c r="I128" s="1" t="n"/>
      <c r="J128" s="1" t="n"/>
      <c r="K128" s="1" t="n"/>
    </row>
    <row r="129" ht="12.75" customHeight="1" s="588">
      <c r="A129" s="1" t="n"/>
      <c r="B129" s="1" t="n"/>
      <c r="C129" s="1" t="n"/>
      <c r="D129" s="1" t="n"/>
      <c r="E129" s="1" t="n"/>
      <c r="F129" s="1" t="n"/>
      <c r="G129" s="1" t="n"/>
      <c r="H129" s="1" t="n"/>
      <c r="I129" s="1" t="n"/>
      <c r="J129" s="1" t="n"/>
      <c r="K129" s="1" t="n"/>
    </row>
    <row r="130" ht="12.75" customHeight="1" s="588">
      <c r="A130" s="1" t="n"/>
      <c r="B130" s="1" t="n"/>
      <c r="C130" s="1" t="n"/>
      <c r="D130" s="1" t="n"/>
      <c r="E130" s="1" t="n"/>
      <c r="F130" s="1" t="n"/>
      <c r="G130" s="1" t="n"/>
      <c r="H130" s="1" t="n"/>
      <c r="I130" s="1" t="n"/>
      <c r="J130" s="1" t="n"/>
      <c r="K130" s="1" t="n"/>
    </row>
    <row r="131" ht="12.75" customHeight="1" s="588">
      <c r="A131" s="1" t="n"/>
      <c r="B131" s="1" t="n"/>
      <c r="C131" s="1" t="n"/>
      <c r="D131" s="1" t="n"/>
      <c r="E131" s="1" t="n"/>
      <c r="F131" s="1" t="n"/>
      <c r="G131" s="1" t="n"/>
      <c r="H131" s="1" t="n"/>
      <c r="I131" s="1" t="n"/>
      <c r="J131" s="1" t="n"/>
      <c r="K131" s="1" t="n"/>
    </row>
    <row r="132" ht="12.75" customHeight="1" s="588">
      <c r="A132" s="1" t="n"/>
      <c r="B132" s="1" t="n"/>
      <c r="C132" s="1" t="n"/>
      <c r="D132" s="1" t="n"/>
      <c r="E132" s="1" t="n"/>
      <c r="F132" s="1" t="n"/>
      <c r="G132" s="1" t="n"/>
      <c r="H132" s="1" t="n"/>
      <c r="I132" s="1" t="n"/>
      <c r="J132" s="1" t="n"/>
      <c r="K132" s="1" t="n"/>
    </row>
    <row r="133" ht="12.75" customHeight="1" s="588">
      <c r="A133" s="1" t="n"/>
      <c r="B133" s="1" t="n"/>
      <c r="C133" s="1" t="n"/>
      <c r="D133" s="1" t="n"/>
      <c r="E133" s="1" t="n"/>
      <c r="F133" s="1" t="n"/>
      <c r="G133" s="1" t="n"/>
      <c r="H133" s="1" t="n"/>
      <c r="I133" s="1" t="n"/>
      <c r="J133" s="1" t="n"/>
      <c r="K133" s="1" t="n"/>
    </row>
    <row r="134" ht="12.75" customHeight="1" s="588">
      <c r="A134" s="1" t="n"/>
      <c r="B134" s="1" t="n"/>
      <c r="C134" s="1" t="n"/>
      <c r="D134" s="1" t="n"/>
      <c r="E134" s="1" t="n"/>
      <c r="F134" s="1" t="n"/>
      <c r="G134" s="1" t="n"/>
      <c r="H134" s="1" t="n"/>
      <c r="I134" s="1" t="n"/>
      <c r="J134" s="1" t="n"/>
      <c r="K134" s="1" t="n"/>
    </row>
    <row r="135" ht="12.75" customHeight="1" s="588">
      <c r="A135" s="1" t="n"/>
      <c r="B135" s="1" t="n"/>
      <c r="C135" s="1" t="n"/>
      <c r="D135" s="1" t="n"/>
      <c r="E135" s="1" t="n"/>
      <c r="F135" s="1" t="n"/>
      <c r="G135" s="1" t="n"/>
      <c r="H135" s="1" t="n"/>
      <c r="I135" s="1" t="n"/>
      <c r="J135" s="1" t="n"/>
      <c r="K135" s="1" t="n"/>
    </row>
    <row r="136" ht="12.75" customHeight="1" s="588">
      <c r="A136" s="1" t="n"/>
      <c r="B136" s="1" t="n"/>
      <c r="C136" s="1" t="n"/>
      <c r="D136" s="1" t="n"/>
      <c r="E136" s="1" t="n"/>
      <c r="F136" s="1" t="n"/>
      <c r="G136" s="1" t="n"/>
      <c r="H136" s="1" t="n"/>
      <c r="I136" s="1" t="n"/>
      <c r="J136" s="1" t="n"/>
      <c r="K136" s="1" t="n"/>
    </row>
    <row r="137" ht="12.75" customHeight="1" s="588">
      <c r="A137" s="1" t="n"/>
      <c r="B137" s="1" t="n"/>
      <c r="C137" s="1" t="n"/>
      <c r="D137" s="1" t="n"/>
      <c r="E137" s="1" t="n"/>
      <c r="F137" s="1" t="n"/>
      <c r="G137" s="1" t="n"/>
      <c r="H137" s="1" t="n"/>
      <c r="I137" s="1" t="n"/>
      <c r="J137" s="1" t="n"/>
      <c r="K137" s="1" t="n"/>
    </row>
    <row r="138" ht="12.75" customHeight="1" s="588">
      <c r="A138" s="1" t="n"/>
      <c r="B138" s="1" t="n"/>
      <c r="C138" s="1" t="n"/>
      <c r="D138" s="1" t="n"/>
      <c r="E138" s="1" t="n"/>
      <c r="F138" s="1" t="n"/>
      <c r="G138" s="1" t="n"/>
      <c r="H138" s="1" t="n"/>
      <c r="I138" s="1" t="n"/>
      <c r="J138" s="1" t="n"/>
      <c r="K138" s="1" t="n"/>
    </row>
    <row r="139" ht="12.75" customHeight="1" s="588">
      <c r="A139" s="1" t="n"/>
      <c r="B139" s="1" t="n"/>
      <c r="C139" s="1" t="n"/>
      <c r="D139" s="1" t="n"/>
      <c r="E139" s="1" t="n"/>
      <c r="F139" s="1" t="n"/>
      <c r="G139" s="1" t="n"/>
      <c r="H139" s="1" t="n"/>
      <c r="I139" s="1" t="n"/>
      <c r="J139" s="1" t="n"/>
      <c r="K139" s="1" t="n"/>
    </row>
    <row r="140" ht="12.75" customHeight="1" s="588">
      <c r="A140" s="1" t="n"/>
      <c r="B140" s="1" t="n"/>
      <c r="C140" s="1" t="n"/>
      <c r="D140" s="1" t="n"/>
      <c r="E140" s="1" t="n"/>
      <c r="F140" s="1" t="n"/>
      <c r="G140" s="1" t="n"/>
      <c r="H140" s="1" t="n"/>
      <c r="I140" s="1" t="n"/>
      <c r="J140" s="1" t="n"/>
      <c r="K140" s="1" t="n"/>
    </row>
    <row r="141" ht="12.75" customHeight="1" s="588">
      <c r="A141" s="1" t="n"/>
      <c r="B141" s="1" t="n"/>
      <c r="C141" s="1" t="n"/>
      <c r="D141" s="1" t="n"/>
      <c r="E141" s="1" t="n"/>
      <c r="F141" s="1" t="n"/>
      <c r="G141" s="1" t="n"/>
      <c r="H141" s="1" t="n"/>
      <c r="I141" s="1" t="n"/>
      <c r="J141" s="1" t="n"/>
      <c r="K141" s="1" t="n"/>
    </row>
    <row r="142" ht="12.75" customHeight="1" s="588">
      <c r="A142" s="1" t="n"/>
      <c r="B142" s="1" t="n"/>
      <c r="C142" s="1" t="n"/>
      <c r="D142" s="1" t="n"/>
      <c r="E142" s="1" t="n"/>
      <c r="F142" s="1" t="n"/>
      <c r="G142" s="1" t="n"/>
      <c r="H142" s="1" t="n"/>
      <c r="I142" s="1" t="n"/>
      <c r="J142" s="1" t="n"/>
      <c r="K142" s="1" t="n"/>
    </row>
    <row r="143" ht="12.75" customHeight="1" s="588">
      <c r="A143" s="1" t="n"/>
      <c r="B143" s="1" t="n"/>
      <c r="C143" s="1" t="n"/>
      <c r="D143" s="1" t="n"/>
      <c r="E143" s="1" t="n"/>
      <c r="F143" s="1" t="n"/>
      <c r="G143" s="1" t="n"/>
      <c r="H143" s="1" t="n"/>
      <c r="I143" s="1" t="n"/>
      <c r="J143" s="1" t="n"/>
      <c r="K143" s="1" t="n"/>
    </row>
    <row r="144" ht="12.75" customHeight="1" s="588">
      <c r="A144" s="1" t="n"/>
      <c r="B144" s="1" t="n"/>
      <c r="C144" s="1" t="n"/>
      <c r="D144" s="1" t="n"/>
      <c r="E144" s="1" t="n"/>
      <c r="F144" s="1" t="n"/>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row r="147" ht="12.75" customHeight="1" s="588"/>
    <row r="148" ht="12.75" customHeight="1" s="588"/>
    <row r="149" ht="12.75" customHeight="1" s="588"/>
    <row r="150" ht="12.75" customHeight="1" s="588"/>
    <row r="151" ht="12.75" customHeight="1" s="588"/>
    <row r="152" ht="12.75" customHeight="1" s="588"/>
    <row r="153" ht="12.75" customHeight="1" s="588"/>
    <row r="154" ht="12.75" customHeight="1" s="588"/>
    <row r="155" ht="12.75" customHeight="1" s="588"/>
    <row r="156" ht="12.75" customHeight="1" s="588"/>
    <row r="157" ht="12.75" customHeight="1" s="588"/>
    <row r="158" ht="12.75" customHeight="1" s="588"/>
    <row r="159" ht="12.75" customHeight="1" s="588"/>
    <row r="160" ht="12.75" customHeight="1" s="588"/>
    <row r="161" ht="12.75" customHeight="1" s="588"/>
    <row r="162" ht="12.75" customHeight="1" s="588"/>
    <row r="163" ht="12.75" customHeight="1" s="588"/>
    <row r="164" ht="12.75" customHeight="1" s="588"/>
    <row r="165" ht="12.75" customHeight="1" s="588"/>
    <row r="166" ht="12.75" customHeight="1" s="588"/>
    <row r="167" ht="12.75" customHeight="1" s="588"/>
    <row r="168" ht="12.75" customHeight="1" s="588"/>
    <row r="169" ht="12.75" customHeight="1" s="588"/>
    <row r="170" ht="12.75" customHeight="1" s="588"/>
    <row r="171" ht="12.75" customHeight="1" s="588"/>
    <row r="172" ht="12.75" customHeight="1" s="588"/>
    <row r="173" ht="12.75" customHeight="1" s="588"/>
    <row r="174" ht="12.75" customHeight="1" s="588"/>
    <row r="175" ht="12.75" customHeight="1" s="588"/>
    <row r="176" ht="12.75" customHeight="1" s="588"/>
    <row r="177" ht="12.75" customHeight="1" s="588"/>
    <row r="178" ht="12.75" customHeight="1" s="588"/>
    <row r="179" ht="12.75" customHeight="1" s="588"/>
    <row r="180" ht="12.75" customHeight="1" s="588"/>
    <row r="181" ht="12.75" customHeight="1" s="588"/>
    <row r="182" ht="12.75" customHeight="1" s="588"/>
    <row r="183" ht="12.75" customHeight="1" s="588"/>
    <row r="184" ht="12.75" customHeight="1" s="588"/>
    <row r="185" ht="12.75" customHeight="1" s="588"/>
    <row r="186" ht="12.75" customHeight="1" s="588"/>
    <row r="187" ht="12.75" customHeight="1" s="588"/>
    <row r="188" ht="12.75" customHeight="1" s="588"/>
    <row r="189" ht="12.75" customHeight="1" s="588"/>
    <row r="190" ht="12.75" customHeight="1" s="588"/>
    <row r="191" ht="12.75" customHeight="1" s="588"/>
    <row r="192" ht="12.75" customHeight="1" s="588"/>
    <row r="193" ht="12.75" customHeight="1" s="588"/>
    <row r="194" ht="12.75" customHeight="1" s="588"/>
    <row r="195" ht="12.75" customHeight="1" s="588"/>
    <row r="196" ht="12.75" customHeight="1" s="588"/>
    <row r="197" ht="12.75" customHeight="1" s="588"/>
    <row r="198" ht="12.75" customHeight="1" s="588"/>
    <row r="199" ht="12.75" customHeight="1" s="588"/>
    <row r="200" ht="12.75" customHeight="1" s="588"/>
    <row r="201" ht="12.75" customHeight="1" s="588"/>
    <row r="202" ht="12.75" customHeight="1" s="588"/>
    <row r="203" ht="12.75" customHeight="1" s="588"/>
    <row r="204" ht="12.75" customHeight="1" s="588"/>
    <row r="205" ht="12.75" customHeight="1" s="588"/>
    <row r="206" ht="12.75" customHeight="1" s="588"/>
    <row r="207" ht="12.75" customHeight="1" s="588"/>
    <row r="208" ht="12.75" customHeight="1" s="588"/>
    <row r="209" ht="12.75" customHeight="1" s="588"/>
    <row r="210" ht="12.75" customHeight="1" s="588"/>
    <row r="211" ht="12.75" customHeight="1" s="588"/>
    <row r="212" ht="12.75" customHeight="1" s="588"/>
    <row r="213" ht="12.75" customHeight="1" s="588"/>
    <row r="214" ht="12.75" customHeight="1" s="588"/>
    <row r="215" ht="12.75" customHeight="1" s="588"/>
    <row r="216" ht="12.75" customHeight="1" s="588"/>
    <row r="217" ht="12.75" customHeight="1" s="588"/>
    <row r="218" ht="12.75" customHeight="1" s="588"/>
    <row r="219" ht="12.75" customHeight="1" s="588"/>
    <row r="220" ht="12.75" customHeight="1" s="588"/>
    <row r="221" ht="12.75" customHeight="1" s="588"/>
    <row r="222" ht="12.75" customHeight="1" s="588"/>
    <row r="223" ht="12.75" customHeight="1" s="588"/>
    <row r="224" ht="12.75" customHeight="1" s="588"/>
    <row r="225" ht="12.75" customHeight="1" s="588"/>
    <row r="226" ht="12.75" customHeight="1" s="588"/>
    <row r="227" ht="12.75" customHeight="1" s="588"/>
    <row r="228" ht="12.75" customHeight="1" s="588"/>
    <row r="229" ht="12.75" customHeight="1" s="588"/>
    <row r="230" ht="12.75" customHeight="1" s="588"/>
    <row r="231" ht="12.75" customHeight="1" s="588"/>
    <row r="232" ht="12.75" customHeight="1" s="588"/>
    <row r="233" ht="12.75" customHeight="1" s="588"/>
    <row r="234" ht="12.75" customHeight="1" s="588"/>
    <row r="235" ht="12.75" customHeight="1" s="588"/>
    <row r="236" ht="12.75" customHeight="1" s="588"/>
    <row r="237" ht="12.75" customHeight="1" s="588"/>
    <row r="238" ht="12.75" customHeight="1" s="588"/>
    <row r="239" ht="12.75" customHeight="1" s="588"/>
    <row r="240" ht="12.75" customHeight="1" s="588"/>
    <row r="241" ht="12.75" customHeight="1" s="588"/>
    <row r="242" ht="12.75" customHeight="1" s="588"/>
    <row r="243" ht="12.75" customHeight="1" s="588"/>
    <row r="244" ht="12.75" customHeight="1" s="588"/>
    <row r="245" ht="12.75" customHeight="1" s="588"/>
    <row r="246" ht="12.75" customHeight="1" s="588"/>
    <row r="247" ht="12.75" customHeight="1" s="588"/>
    <row r="248" ht="12.75" customHeight="1" s="588"/>
    <row r="249" ht="12.75" customHeight="1" s="588"/>
    <row r="250" ht="12.75" customHeight="1" s="588"/>
    <row r="251" ht="12.75" customHeight="1" s="588"/>
    <row r="252" ht="12.75" customHeight="1" s="588"/>
    <row r="253" ht="12.75" customHeight="1" s="588"/>
    <row r="254" ht="12.75" customHeight="1" s="588"/>
    <row r="255" ht="12.75" customHeight="1" s="588"/>
    <row r="256" ht="12.75" customHeight="1" s="588"/>
    <row r="257" ht="12.75" customHeight="1" s="588"/>
    <row r="258" ht="12.75" customHeight="1" s="588"/>
    <row r="259" ht="12.75" customHeight="1" s="588"/>
    <row r="260" ht="12.75" customHeight="1" s="588"/>
    <row r="261" ht="12.75" customHeight="1" s="588"/>
    <row r="262" ht="12.75" customHeight="1" s="588"/>
    <row r="263" ht="12.75" customHeight="1" s="588"/>
    <row r="264" ht="12.75" customHeight="1" s="588"/>
    <row r="265" ht="12.75" customHeight="1" s="588"/>
    <row r="266" ht="12.75" customHeight="1" s="588"/>
    <row r="267" ht="12.75" customHeight="1" s="588"/>
    <row r="268" ht="12.75" customHeight="1" s="588"/>
    <row r="269" ht="12.75" customHeight="1" s="588"/>
    <row r="270" ht="12.75" customHeight="1" s="588"/>
    <row r="271" ht="12.75" customHeight="1" s="588"/>
    <row r="272" ht="12.75" customHeight="1" s="588"/>
    <row r="273" ht="12.75" customHeight="1" s="588"/>
    <row r="274" ht="12.75" customHeight="1" s="588"/>
    <row r="275" ht="12.75" customHeight="1" s="588"/>
    <row r="276" ht="12.75" customHeight="1" s="588"/>
    <row r="277" ht="12.75" customHeight="1" s="588"/>
    <row r="278" ht="12.75" customHeight="1" s="588"/>
    <row r="279" ht="12.75" customHeight="1" s="588"/>
    <row r="280" ht="12.75" customHeight="1" s="588"/>
    <row r="281" ht="12.75" customHeight="1" s="588"/>
    <row r="282" ht="12.75" customHeight="1" s="588"/>
    <row r="283" ht="12.75" customHeight="1" s="588"/>
    <row r="284" ht="12.75" customHeight="1" s="588"/>
    <row r="285" ht="12.75" customHeight="1" s="588"/>
    <row r="286" ht="12.75" customHeight="1" s="588"/>
    <row r="287" ht="12.75" customHeight="1" s="588"/>
    <row r="288" ht="12.75" customHeight="1" s="588"/>
    <row r="289" ht="12.75" customHeight="1" s="588"/>
    <row r="290" ht="12.75" customHeight="1" s="588"/>
    <row r="291" ht="12.75" customHeight="1" s="588"/>
    <row r="292" ht="12.75" customHeight="1" s="588"/>
    <row r="293" ht="12.75" customHeight="1" s="588"/>
    <row r="294" ht="12.75" customHeight="1" s="588"/>
    <row r="295" ht="12.75" customHeight="1" s="588"/>
    <row r="296" ht="12.75" customHeight="1" s="588"/>
    <row r="297" ht="12.75" customHeight="1" s="588"/>
    <row r="298" ht="12.75" customHeight="1" s="588"/>
    <row r="299" ht="12.75" customHeight="1" s="588"/>
    <row r="300" ht="12.75" customHeight="1" s="588"/>
    <row r="301" ht="12.75" customHeight="1" s="588"/>
    <row r="302" ht="12.75" customHeight="1" s="588"/>
    <row r="303" ht="12.75" customHeight="1" s="588"/>
    <row r="304" ht="12.75" customHeight="1" s="588"/>
    <row r="305" ht="12.75" customHeight="1" s="588"/>
    <row r="306" ht="12.75" customHeight="1" s="588"/>
    <row r="307" ht="12.75" customHeight="1" s="588"/>
    <row r="308" ht="12.75" customHeight="1" s="588"/>
    <row r="309" ht="12.75" customHeight="1" s="588"/>
    <row r="310" ht="12.75" customHeight="1" s="588"/>
    <row r="311" ht="12.75" customHeight="1" s="588"/>
    <row r="312" ht="12.75" customHeight="1" s="588"/>
    <row r="313" ht="12.75" customHeight="1" s="588"/>
    <row r="314" ht="12.75" customHeight="1" s="588"/>
    <row r="315" ht="12.75" customHeight="1" s="588"/>
    <row r="316" ht="12.75" customHeight="1" s="588"/>
    <row r="317" ht="12.75" customHeight="1" s="588"/>
    <row r="318" ht="12.75" customHeight="1" s="588"/>
    <row r="319" ht="12.75" customHeight="1" s="588"/>
    <row r="320" ht="12.75" customHeight="1" s="588"/>
    <row r="321" ht="12.75" customHeight="1" s="588"/>
    <row r="322" ht="12.75" customHeight="1" s="588"/>
    <row r="323" ht="12.75" customHeight="1" s="588"/>
    <row r="324" ht="12.75" customHeight="1" s="588"/>
    <row r="325" ht="12.75" customHeight="1" s="588"/>
    <row r="326" ht="12.75" customHeight="1" s="588"/>
    <row r="327" ht="12.75" customHeight="1" s="588"/>
    <row r="328" ht="12.75" customHeight="1" s="588"/>
    <row r="329" ht="12.75" customHeight="1" s="588"/>
    <row r="330" ht="12.75" customHeight="1" s="588"/>
    <row r="331" ht="12.75" customHeight="1" s="588"/>
    <row r="332" ht="12.75" customHeight="1" s="588"/>
    <row r="333" ht="12.75" customHeight="1" s="588"/>
    <row r="334" ht="12.75" customHeight="1" s="588"/>
    <row r="335" ht="12.75" customHeight="1" s="588"/>
    <row r="336" ht="12.75" customHeight="1" s="588"/>
    <row r="337" ht="12.75" customHeight="1" s="588"/>
    <row r="338" ht="12.75" customHeight="1" s="588"/>
    <row r="339" ht="12.75" customHeight="1" s="588"/>
    <row r="340" ht="12.75" customHeight="1" s="588"/>
    <row r="341" ht="12.75" customHeight="1" s="588"/>
    <row r="342" ht="12.75" customHeight="1" s="588"/>
    <row r="343" ht="12.75" customHeight="1" s="588"/>
    <row r="344" ht="12.75" customHeight="1" s="588"/>
    <row r="345" ht="12.75" customHeight="1" s="588"/>
    <row r="346" ht="12.75" customHeight="1" s="588"/>
    <row r="347" ht="12.75" customHeight="1" s="588"/>
    <row r="348" ht="12.75" customHeight="1" s="588"/>
    <row r="349" ht="12.75" customHeight="1" s="588"/>
    <row r="350" ht="12.75" customHeight="1" s="588"/>
    <row r="351" ht="12.75" customHeight="1" s="588"/>
    <row r="352" ht="12.75" customHeight="1" s="588"/>
    <row r="353" ht="12.75" customHeight="1" s="588"/>
    <row r="354" ht="12.75" customHeight="1" s="588"/>
    <row r="355" ht="12.75" customHeight="1" s="588"/>
    <row r="356" ht="12.75" customHeight="1" s="588"/>
    <row r="357" ht="12.75" customHeight="1" s="588"/>
    <row r="358" ht="12.75" customHeight="1" s="588"/>
    <row r="359" ht="12.75" customHeight="1" s="588"/>
    <row r="360" ht="12.75" customHeight="1" s="588"/>
    <row r="361" ht="12.75" customHeight="1" s="588"/>
    <row r="362" ht="12.75" customHeight="1" s="588"/>
    <row r="363" ht="12.75" customHeight="1" s="588"/>
    <row r="364" ht="12.75" customHeight="1" s="588"/>
    <row r="365" ht="12.75" customHeight="1" s="588"/>
    <row r="366" ht="12.75" customHeight="1" s="588"/>
    <row r="367" ht="12.75" customHeight="1" s="588"/>
    <row r="368" ht="12.75" customHeight="1" s="588"/>
    <row r="369" ht="12.75" customHeight="1" s="588"/>
    <row r="370" ht="12.75" customHeight="1" s="588"/>
    <row r="371" ht="12.75" customHeight="1" s="588"/>
    <row r="372" ht="12.75" customHeight="1" s="588"/>
    <row r="373" ht="12.75" customHeight="1" s="588"/>
    <row r="374" ht="12.75" customHeight="1" s="588"/>
    <row r="375" ht="12.75" customHeight="1" s="588"/>
    <row r="376" ht="12.75" customHeight="1" s="588"/>
    <row r="377" ht="12.75" customHeight="1" s="588"/>
    <row r="378" ht="12.75" customHeight="1" s="588"/>
    <row r="379" ht="12.75" customHeight="1" s="588"/>
    <row r="380" ht="12.75" customHeight="1" s="588"/>
    <row r="381" ht="12.75" customHeight="1" s="588"/>
    <row r="382" ht="12.75" customHeight="1" s="588"/>
    <row r="383" ht="12.75" customHeight="1" s="588"/>
    <row r="384" ht="12.75" customHeight="1" s="588"/>
    <row r="385" ht="12.75" customHeight="1" s="588"/>
    <row r="386" ht="12.75" customHeight="1" s="588"/>
    <row r="387" ht="12.75" customHeight="1" s="588"/>
    <row r="388" ht="12.75" customHeight="1" s="588"/>
    <row r="389" ht="12.75" customHeight="1" s="588"/>
    <row r="390" ht="12.75" customHeight="1" s="588"/>
    <row r="391" ht="12.75" customHeight="1" s="588"/>
    <row r="392" ht="12.75" customHeight="1" s="588"/>
    <row r="393" ht="12.75" customHeight="1" s="588"/>
    <row r="394" ht="12.75" customHeight="1" s="588"/>
    <row r="395" ht="12.75" customHeight="1" s="588"/>
    <row r="396" ht="12.75" customHeight="1" s="588"/>
    <row r="397" ht="12.75" customHeight="1" s="588"/>
    <row r="398" ht="12.75" customHeight="1" s="588"/>
    <row r="399" ht="12.75" customHeight="1" s="588"/>
    <row r="400" ht="12.75" customHeight="1" s="588"/>
    <row r="401" ht="12.75" customHeight="1" s="588"/>
    <row r="402" ht="12.75" customHeight="1" s="588"/>
    <row r="403" ht="12.75" customHeight="1" s="588"/>
    <row r="404" ht="12.75" customHeight="1" s="588"/>
    <row r="405" ht="12.75" customHeight="1" s="588"/>
    <row r="406" ht="12.75" customHeight="1" s="588"/>
    <row r="407" ht="12.75" customHeight="1" s="588"/>
    <row r="408" ht="12.75" customHeight="1" s="588"/>
    <row r="409" ht="12.75" customHeight="1" s="588"/>
    <row r="410" ht="12.75" customHeight="1" s="588"/>
    <row r="411" ht="12.75" customHeight="1" s="588"/>
    <row r="412" ht="12.75" customHeight="1" s="588"/>
    <row r="413" ht="12.75" customHeight="1" s="588"/>
    <row r="414" ht="12.75" customHeight="1" s="588"/>
    <row r="415" ht="12.75" customHeight="1" s="588"/>
    <row r="416" ht="12.75" customHeight="1" s="588"/>
    <row r="417" ht="12.75" customHeight="1" s="588"/>
    <row r="418" ht="12.75" customHeight="1" s="588"/>
    <row r="419" ht="12.75" customHeight="1" s="588"/>
    <row r="420" ht="12.75" customHeight="1" s="588"/>
    <row r="421" ht="12.75" customHeight="1" s="588"/>
    <row r="422" ht="12.75" customHeight="1" s="588"/>
    <row r="423" ht="12.75" customHeight="1" s="588"/>
    <row r="424" ht="12.75" customHeight="1" s="588"/>
    <row r="425" ht="12.75" customHeight="1" s="588"/>
    <row r="426" ht="12.75" customHeight="1" s="588"/>
    <row r="427" ht="12.75" customHeight="1" s="588"/>
    <row r="428" ht="12.75" customHeight="1" s="588"/>
    <row r="429" ht="12.75" customHeight="1" s="588"/>
    <row r="430" ht="12.75" customHeight="1" s="588"/>
    <row r="431" ht="12.75" customHeight="1" s="588"/>
    <row r="432" ht="12.75" customHeight="1" s="588"/>
    <row r="433" ht="12.75" customHeight="1" s="588"/>
    <row r="434" ht="12.75" customHeight="1" s="588"/>
    <row r="435" ht="12.75" customHeight="1" s="588"/>
    <row r="436" ht="12.75" customHeight="1" s="588"/>
    <row r="437" ht="12.75" customHeight="1" s="588"/>
    <row r="438" ht="12.75" customHeight="1" s="588"/>
    <row r="439" ht="12.75" customHeight="1" s="588"/>
    <row r="440" ht="12.75" customHeight="1" s="588"/>
    <row r="441" ht="12.75" customHeight="1" s="588"/>
    <row r="442" ht="12.75" customHeight="1" s="588"/>
    <row r="443" ht="12.75" customHeight="1" s="588"/>
    <row r="444" ht="12.75" customHeight="1" s="588"/>
    <row r="445" ht="12.75" customHeight="1" s="588"/>
    <row r="446" ht="12.75" customHeight="1" s="588"/>
    <row r="447" ht="12.75" customHeight="1" s="588"/>
    <row r="448" ht="12.75" customHeight="1" s="588"/>
    <row r="449" ht="12.75" customHeight="1" s="588"/>
    <row r="450" ht="12.75" customHeight="1" s="588"/>
    <row r="451" ht="12.75" customHeight="1" s="588"/>
    <row r="452" ht="12.75" customHeight="1" s="588"/>
    <row r="453" ht="12.75" customHeight="1" s="588"/>
    <row r="454" ht="12.75" customHeight="1" s="588"/>
    <row r="455" ht="12.75" customHeight="1" s="588"/>
    <row r="456" ht="12.75" customHeight="1" s="588"/>
    <row r="457" ht="12.75" customHeight="1" s="588"/>
    <row r="458" ht="12.75" customHeight="1" s="588"/>
    <row r="459" ht="12.75" customHeight="1" s="588"/>
    <row r="460" ht="12.75" customHeight="1" s="588"/>
    <row r="461" ht="12.75" customHeight="1" s="588"/>
    <row r="462" ht="12.75" customHeight="1" s="588"/>
    <row r="463" ht="12.75" customHeight="1" s="588"/>
    <row r="464" ht="12.75" customHeight="1" s="588"/>
    <row r="465" ht="12.75" customHeight="1" s="588"/>
    <row r="466" ht="12.75" customHeight="1" s="588"/>
    <row r="467" ht="12.75" customHeight="1" s="588"/>
    <row r="468" ht="12.75" customHeight="1" s="588"/>
    <row r="469" ht="12.75" customHeight="1" s="588"/>
    <row r="470" ht="12.75" customHeight="1" s="588"/>
    <row r="471" ht="12.75" customHeight="1" s="588"/>
    <row r="472" ht="12.75" customHeight="1" s="588"/>
    <row r="473" ht="12.75" customHeight="1" s="588"/>
    <row r="474" ht="12.75" customHeight="1" s="588"/>
    <row r="475" ht="12.75" customHeight="1" s="588"/>
    <row r="476" ht="12.75" customHeight="1" s="588"/>
    <row r="477" ht="12.75" customHeight="1" s="588"/>
    <row r="478" ht="12.75" customHeight="1" s="588"/>
    <row r="479" ht="12.75" customHeight="1" s="588"/>
    <row r="480" ht="12.75" customHeight="1" s="588"/>
    <row r="481" ht="12.75" customHeight="1" s="588"/>
    <row r="482" ht="12.75" customHeight="1" s="588"/>
    <row r="483" ht="12.75" customHeight="1" s="588"/>
    <row r="484" ht="12.75" customHeight="1" s="588"/>
    <row r="485" ht="12.75" customHeight="1" s="588"/>
    <row r="486" ht="12.75" customHeight="1" s="588"/>
    <row r="487" ht="12.75" customHeight="1" s="588"/>
    <row r="488" ht="12.75" customHeight="1" s="588"/>
    <row r="489" ht="12.75" customHeight="1" s="588"/>
    <row r="490" ht="12.75" customHeight="1" s="588"/>
    <row r="491" ht="12.75" customHeight="1" s="588"/>
    <row r="492" ht="12.75" customHeight="1" s="588"/>
    <row r="493" ht="12.75" customHeight="1" s="588"/>
    <row r="494" ht="12.75" customHeight="1" s="588"/>
    <row r="495" ht="12.75" customHeight="1" s="588"/>
    <row r="496" ht="12.75" customHeight="1" s="588"/>
    <row r="497" ht="12.75" customHeight="1" s="588"/>
    <row r="498" ht="12.75" customHeight="1" s="588"/>
    <row r="499" ht="12.75" customHeight="1" s="588"/>
    <row r="500" ht="12.75" customHeight="1" s="588"/>
    <row r="501" ht="12.75" customHeight="1" s="588"/>
    <row r="502" ht="12.75" customHeight="1" s="588"/>
    <row r="503" ht="12.75" customHeight="1" s="588"/>
    <row r="504" ht="12.75" customHeight="1" s="588"/>
    <row r="505" ht="12.75" customHeight="1" s="588"/>
    <row r="506" ht="12.75" customHeight="1" s="588"/>
    <row r="507" ht="12.75" customHeight="1" s="588"/>
    <row r="508" ht="12.75" customHeight="1" s="588"/>
    <row r="509" ht="12.75" customHeight="1" s="588"/>
    <row r="510" ht="12.75" customHeight="1" s="588"/>
    <row r="511" ht="12.75" customHeight="1" s="588"/>
    <row r="512" ht="12.75" customHeight="1" s="588"/>
    <row r="513" ht="12.75" customHeight="1" s="588"/>
    <row r="514" ht="12.75" customHeight="1" s="588"/>
    <row r="515" ht="12.75" customHeight="1" s="588"/>
    <row r="516" ht="12.75" customHeight="1" s="588"/>
    <row r="517" ht="12.75" customHeight="1" s="588"/>
    <row r="518" ht="12.75" customHeight="1" s="588"/>
    <row r="519" ht="12.75" customHeight="1" s="588"/>
    <row r="520" ht="12.75" customHeight="1" s="588"/>
    <row r="521" ht="12.75" customHeight="1" s="588"/>
    <row r="522" ht="12.75" customHeight="1" s="588"/>
    <row r="523" ht="12.75" customHeight="1" s="588"/>
    <row r="524" ht="12.75" customHeight="1" s="588"/>
    <row r="525" ht="12.75" customHeight="1" s="588"/>
    <row r="526" ht="12.75" customHeight="1" s="588"/>
    <row r="527" ht="12.75" customHeight="1" s="588"/>
    <row r="528" ht="12.75" customHeight="1" s="588"/>
    <row r="529" ht="12.75" customHeight="1" s="588"/>
    <row r="530" ht="12.75" customHeight="1" s="588"/>
    <row r="531" ht="12.75" customHeight="1" s="588"/>
    <row r="532" ht="12.75" customHeight="1" s="588"/>
    <row r="533" ht="12.75" customHeight="1" s="588"/>
    <row r="534" ht="12.75" customHeight="1" s="588"/>
    <row r="535" ht="12.75" customHeight="1" s="588"/>
    <row r="536" ht="12.75" customHeight="1" s="588"/>
    <row r="537" ht="12.75" customHeight="1" s="588"/>
    <row r="538" ht="12.75" customHeight="1" s="588"/>
    <row r="539" ht="12.75" customHeight="1" s="588"/>
    <row r="540" ht="12.75" customHeight="1" s="588"/>
    <row r="541" ht="12.75" customHeight="1" s="588"/>
    <row r="542" ht="12.75" customHeight="1" s="588"/>
    <row r="543" ht="12.75" customHeight="1" s="588"/>
    <row r="544" ht="12.75" customHeight="1" s="588"/>
    <row r="545" ht="12.75" customHeight="1" s="588"/>
    <row r="546" ht="12.75" customHeight="1" s="588"/>
    <row r="547" ht="12.75" customHeight="1" s="588"/>
    <row r="548" ht="12.75" customHeight="1" s="588"/>
    <row r="549" ht="12.75" customHeight="1" s="588"/>
    <row r="550" ht="12.75" customHeight="1" s="588"/>
    <row r="551" ht="12.75" customHeight="1" s="588"/>
    <row r="552" ht="12.75" customHeight="1" s="588"/>
    <row r="553" ht="12.75" customHeight="1" s="588"/>
    <row r="554" ht="12.75" customHeight="1" s="588"/>
    <row r="555" ht="12.75" customHeight="1" s="588"/>
    <row r="556" ht="12.75" customHeight="1" s="588"/>
    <row r="557" ht="12.75" customHeight="1" s="588"/>
    <row r="558" ht="12.75" customHeight="1" s="588"/>
    <row r="559" ht="12.75" customHeight="1" s="588"/>
    <row r="560" ht="12.75" customHeight="1" s="588"/>
    <row r="561" ht="12.75" customHeight="1" s="588"/>
    <row r="562" ht="12.75" customHeight="1" s="588"/>
    <row r="563" ht="12.75" customHeight="1" s="588"/>
    <row r="564" ht="12.75" customHeight="1" s="588"/>
    <row r="565" ht="12.75" customHeight="1" s="588"/>
    <row r="566" ht="12.75" customHeight="1" s="588"/>
    <row r="567" ht="12.75" customHeight="1" s="588"/>
    <row r="568" ht="12.75" customHeight="1" s="588"/>
    <row r="569" ht="12.75" customHeight="1" s="588"/>
    <row r="570" ht="12.75" customHeight="1" s="588"/>
    <row r="571" ht="12.75" customHeight="1" s="588"/>
    <row r="572" ht="12.75" customHeight="1" s="588"/>
    <row r="573" ht="12.75" customHeight="1" s="588"/>
    <row r="574" ht="12.75" customHeight="1" s="588"/>
    <row r="575" ht="12.75" customHeight="1" s="588"/>
    <row r="576" ht="12.75" customHeight="1" s="588"/>
    <row r="577" ht="12.75" customHeight="1" s="588"/>
    <row r="578" ht="12.75" customHeight="1" s="588"/>
    <row r="579" ht="12.75" customHeight="1" s="588"/>
    <row r="580" ht="12.75" customHeight="1" s="588"/>
    <row r="581" ht="12.75" customHeight="1" s="588"/>
    <row r="582" ht="12.75" customHeight="1" s="588"/>
    <row r="583" ht="12.75" customHeight="1" s="588"/>
    <row r="584" ht="12.75" customHeight="1" s="588"/>
    <row r="585" ht="12.75" customHeight="1" s="588"/>
    <row r="586" ht="12.75" customHeight="1" s="588"/>
    <row r="587" ht="12.75" customHeight="1" s="588"/>
    <row r="588" ht="12.75" customHeight="1" s="588"/>
    <row r="589" ht="12.75" customHeight="1" s="588"/>
    <row r="590" ht="12.75" customHeight="1" s="588"/>
    <row r="591" ht="12.75" customHeight="1" s="588"/>
    <row r="592" ht="12.75" customHeight="1" s="588"/>
    <row r="593" ht="12.75" customHeight="1" s="588"/>
    <row r="594" ht="12.75" customHeight="1" s="588"/>
    <row r="595" ht="12.75" customHeight="1" s="588"/>
    <row r="596" ht="12.75" customHeight="1" s="588"/>
    <row r="597" ht="12.75" customHeight="1" s="588"/>
    <row r="598" ht="12.75" customHeight="1" s="588"/>
    <row r="599" ht="12.75" customHeight="1" s="588"/>
    <row r="600" ht="12.75" customHeight="1" s="588"/>
    <row r="601" ht="12.75" customHeight="1" s="588"/>
    <row r="602" ht="12.75" customHeight="1" s="588"/>
    <row r="603" ht="12.75" customHeight="1" s="588"/>
    <row r="604" ht="12.75" customHeight="1" s="588"/>
    <row r="605" ht="12.75" customHeight="1" s="588"/>
    <row r="606" ht="12.75" customHeight="1" s="588"/>
    <row r="607" ht="12.75" customHeight="1" s="588"/>
    <row r="608" ht="12.75" customHeight="1" s="588"/>
    <row r="609" ht="12.75" customHeight="1" s="588"/>
    <row r="610" ht="12.75" customHeight="1" s="588"/>
    <row r="611" ht="12.75" customHeight="1" s="588"/>
    <row r="612" ht="12.75" customHeight="1" s="588"/>
    <row r="613" ht="12.75" customHeight="1" s="588"/>
    <row r="614" ht="12.75" customHeight="1" s="588"/>
    <row r="615" ht="12.75" customHeight="1" s="588"/>
    <row r="616" ht="12.75" customHeight="1" s="588"/>
    <row r="617" ht="12.75" customHeight="1" s="588"/>
    <row r="618" ht="12.75" customHeight="1" s="588"/>
    <row r="619" ht="12.75" customHeight="1" s="588"/>
    <row r="620" ht="12.75" customHeight="1" s="588"/>
    <row r="621" ht="12.75" customHeight="1" s="588"/>
    <row r="622" ht="12.75" customHeight="1" s="588"/>
    <row r="623" ht="12.75" customHeight="1" s="588"/>
    <row r="624" ht="12.75" customHeight="1" s="588"/>
    <row r="625" ht="12.75" customHeight="1" s="588"/>
    <row r="626" ht="12.75" customHeight="1" s="588"/>
    <row r="627" ht="12.75" customHeight="1" s="588"/>
    <row r="628" ht="12.75" customHeight="1" s="588"/>
    <row r="629" ht="12.75" customHeight="1" s="588"/>
    <row r="630" ht="12.75" customHeight="1" s="588"/>
    <row r="631" ht="12.75" customHeight="1" s="588"/>
    <row r="632" ht="12.75" customHeight="1" s="588"/>
    <row r="633" ht="12.75" customHeight="1" s="588"/>
    <row r="634" ht="12.75" customHeight="1" s="588"/>
    <row r="635" ht="12.75" customHeight="1" s="588"/>
    <row r="636" ht="12.75" customHeight="1" s="588"/>
    <row r="637" ht="12.75" customHeight="1" s="588"/>
    <row r="638" ht="12.75" customHeight="1" s="588"/>
    <row r="639" ht="12.75" customHeight="1" s="588"/>
    <row r="640" ht="12.75" customHeight="1" s="588"/>
    <row r="641" ht="12.75" customHeight="1" s="588"/>
    <row r="642" ht="12.75" customHeight="1" s="588"/>
    <row r="643" ht="12.75" customHeight="1" s="588"/>
    <row r="644" ht="12.75" customHeight="1" s="588"/>
    <row r="645" ht="12.75" customHeight="1" s="588"/>
    <row r="646" ht="12.75" customHeight="1" s="588"/>
    <row r="647" ht="12.75" customHeight="1" s="588"/>
    <row r="648" ht="12.75" customHeight="1" s="588"/>
    <row r="649" ht="12.75" customHeight="1" s="588"/>
    <row r="650" ht="12.75" customHeight="1" s="588"/>
    <row r="651" ht="12.75" customHeight="1" s="588"/>
    <row r="652" ht="12.75" customHeight="1" s="588"/>
    <row r="653" ht="12.75" customHeight="1" s="588"/>
    <row r="654" ht="12.75" customHeight="1" s="588"/>
    <row r="655" ht="12.75" customHeight="1" s="588"/>
    <row r="656" ht="12.75" customHeight="1" s="588"/>
    <row r="657" ht="12.75" customHeight="1" s="588"/>
    <row r="658" ht="12.75" customHeight="1" s="588"/>
    <row r="659" ht="12.75" customHeight="1" s="588"/>
    <row r="660" ht="12.75" customHeight="1" s="588"/>
    <row r="661" ht="12.75" customHeight="1" s="588"/>
    <row r="662" ht="12.75" customHeight="1" s="588"/>
    <row r="663" ht="12.75" customHeight="1" s="588"/>
    <row r="664" ht="12.75" customHeight="1" s="588"/>
    <row r="665" ht="12.75" customHeight="1" s="588"/>
    <row r="666" ht="12.75" customHeight="1" s="588"/>
    <row r="667" ht="12.75" customHeight="1" s="588"/>
    <row r="668" ht="12.75" customHeight="1" s="588"/>
    <row r="669" ht="12.75" customHeight="1" s="588"/>
    <row r="670" ht="12.75" customHeight="1" s="588"/>
    <row r="671" ht="12.75" customHeight="1" s="588"/>
    <row r="672" ht="12.75" customHeight="1" s="588"/>
    <row r="673" ht="12.75" customHeight="1" s="588"/>
    <row r="674" ht="12.75" customHeight="1" s="588"/>
    <row r="675" ht="12.75" customHeight="1" s="588"/>
    <row r="676" ht="12.75" customHeight="1" s="588"/>
    <row r="677" ht="12.75" customHeight="1" s="588"/>
    <row r="678" ht="12.75" customHeight="1" s="588"/>
    <row r="679" ht="12.75" customHeight="1" s="588"/>
    <row r="680" ht="12.75" customHeight="1" s="588"/>
    <row r="681" ht="12.75" customHeight="1" s="588"/>
    <row r="682" ht="12.75" customHeight="1" s="588"/>
    <row r="683" ht="12.75" customHeight="1" s="588"/>
    <row r="684" ht="12.75" customHeight="1" s="588"/>
    <row r="685" ht="12.75" customHeight="1" s="588"/>
    <row r="686" ht="12.75" customHeight="1" s="588"/>
    <row r="687" ht="12.75" customHeight="1" s="588"/>
    <row r="688" ht="12.75" customHeight="1" s="588"/>
    <row r="689" ht="12.75" customHeight="1" s="588"/>
    <row r="690" ht="12.75" customHeight="1" s="588"/>
    <row r="691" ht="12.75" customHeight="1" s="588"/>
    <row r="692" ht="12.75" customHeight="1" s="588"/>
    <row r="693" ht="12.75" customHeight="1" s="588"/>
    <row r="694" ht="12.75" customHeight="1" s="588"/>
    <row r="695" ht="12.75" customHeight="1" s="588"/>
    <row r="696" ht="12.75" customHeight="1" s="588"/>
    <row r="697" ht="12.75" customHeight="1" s="588"/>
    <row r="698" ht="12.75" customHeight="1" s="588"/>
    <row r="699" ht="12.75" customHeight="1" s="588"/>
    <row r="700" ht="12.75" customHeight="1" s="588"/>
    <row r="701" ht="12.75" customHeight="1" s="588"/>
    <row r="702" ht="12.75" customHeight="1" s="588"/>
    <row r="703" ht="12.75" customHeight="1" s="588"/>
    <row r="704" ht="12.75" customHeight="1" s="588"/>
    <row r="705" ht="12.75" customHeight="1" s="588"/>
    <row r="706" ht="12.75" customHeight="1" s="588"/>
    <row r="707" ht="12.75" customHeight="1" s="588"/>
    <row r="708" ht="12.75" customHeight="1" s="588"/>
    <row r="709" ht="12.75" customHeight="1" s="588"/>
    <row r="710" ht="12.75" customHeight="1" s="588"/>
    <row r="711" ht="12.75" customHeight="1" s="588"/>
    <row r="712" ht="12.75" customHeight="1" s="588"/>
    <row r="713" ht="12.75" customHeight="1" s="588"/>
    <row r="714" ht="12.75" customHeight="1" s="588"/>
    <row r="715" ht="12.75" customHeight="1" s="588"/>
    <row r="716" ht="12.75" customHeight="1" s="588"/>
    <row r="717" ht="12.75" customHeight="1" s="588"/>
    <row r="718" ht="12.75" customHeight="1" s="588"/>
    <row r="719" ht="12.75" customHeight="1" s="588"/>
    <row r="720" ht="12.75" customHeight="1" s="588"/>
    <row r="721" ht="12.75" customHeight="1" s="588"/>
    <row r="722" ht="12.75" customHeight="1" s="588"/>
    <row r="723" ht="12.75" customHeight="1" s="588"/>
    <row r="724" ht="12.75" customHeight="1" s="588"/>
    <row r="725" ht="12.75" customHeight="1" s="588"/>
    <row r="726" ht="12.75" customHeight="1" s="588"/>
    <row r="727" ht="12.75" customHeight="1" s="588"/>
    <row r="728" ht="12.75" customHeight="1" s="588"/>
    <row r="729" ht="12.75" customHeight="1" s="588"/>
    <row r="730" ht="12.75" customHeight="1" s="588"/>
    <row r="731" ht="12.75" customHeight="1" s="588"/>
    <row r="732" ht="12.75" customHeight="1" s="588"/>
    <row r="733" ht="12.75" customHeight="1" s="588"/>
    <row r="734" ht="12.75" customHeight="1" s="588"/>
    <row r="735" ht="12.75" customHeight="1" s="588"/>
    <row r="736" ht="12.75" customHeight="1" s="588"/>
    <row r="737" ht="12.75" customHeight="1" s="588"/>
    <row r="738" ht="12.75" customHeight="1" s="588"/>
    <row r="739" ht="12.75" customHeight="1" s="588"/>
    <row r="740" ht="12.75" customHeight="1" s="588"/>
    <row r="741" ht="12.75" customHeight="1" s="588"/>
    <row r="742" ht="12.75" customHeight="1" s="588"/>
    <row r="743" ht="12.75" customHeight="1" s="588"/>
    <row r="744" ht="12.75" customHeight="1" s="588"/>
    <row r="745" ht="12.75" customHeight="1" s="588"/>
    <row r="746" ht="12.75" customHeight="1" s="588"/>
    <row r="747" ht="12.75" customHeight="1" s="588"/>
    <row r="748" ht="12.75" customHeight="1" s="588"/>
    <row r="749" ht="12.75" customHeight="1" s="588"/>
    <row r="750" ht="12.75" customHeight="1" s="588"/>
    <row r="751" ht="12.75" customHeight="1" s="588"/>
    <row r="752" ht="12.75" customHeight="1" s="588"/>
    <row r="753" ht="12.75" customHeight="1" s="588"/>
    <row r="754" ht="12.75" customHeight="1" s="588"/>
    <row r="755" ht="12.75" customHeight="1" s="588"/>
    <row r="756" ht="12.75" customHeight="1" s="588"/>
    <row r="757" ht="12.75" customHeight="1" s="588"/>
    <row r="758" ht="12.75" customHeight="1" s="588"/>
    <row r="759" ht="12.75" customHeight="1" s="588"/>
    <row r="760" ht="12.75" customHeight="1" s="588"/>
    <row r="761" ht="12.75" customHeight="1" s="588"/>
    <row r="762" ht="12.75" customHeight="1" s="588"/>
    <row r="763" ht="12.75" customHeight="1" s="588"/>
    <row r="764" ht="12.75" customHeight="1" s="588"/>
    <row r="765" ht="12.75" customHeight="1" s="588"/>
    <row r="766" ht="12.75" customHeight="1" s="588"/>
    <row r="767" ht="12.75" customHeight="1" s="588"/>
    <row r="768" ht="12.75" customHeight="1" s="588"/>
    <row r="769" ht="12.75" customHeight="1" s="588"/>
    <row r="770" ht="12.75" customHeight="1" s="588"/>
    <row r="771" ht="12.75" customHeight="1" s="588"/>
    <row r="772" ht="12.75" customHeight="1" s="588"/>
    <row r="773" ht="12.75" customHeight="1" s="588"/>
    <row r="774" ht="12.75" customHeight="1" s="588"/>
    <row r="775" ht="12.75" customHeight="1" s="588"/>
    <row r="776" ht="12.75" customHeight="1" s="588"/>
    <row r="777" ht="12.75" customHeight="1" s="588"/>
    <row r="778" ht="12.75" customHeight="1" s="588"/>
    <row r="779" ht="12.75" customHeight="1" s="588"/>
    <row r="780" ht="12.75" customHeight="1" s="588"/>
    <row r="781" ht="12.75" customHeight="1" s="588"/>
    <row r="782" ht="12.75" customHeight="1" s="588"/>
    <row r="783" ht="12.75" customHeight="1" s="588"/>
    <row r="784" ht="12.75" customHeight="1" s="588"/>
    <row r="785" ht="12.75" customHeight="1" s="588"/>
    <row r="786" ht="12.75" customHeight="1" s="588"/>
    <row r="787" ht="12.75" customHeight="1" s="588"/>
    <row r="788" ht="12.75" customHeight="1" s="588"/>
    <row r="789" ht="12.75" customHeight="1" s="588"/>
    <row r="790" ht="12.75" customHeight="1" s="588"/>
    <row r="791" ht="12.75" customHeight="1" s="588"/>
    <row r="792" ht="12.75" customHeight="1" s="588"/>
    <row r="793" ht="12.75" customHeight="1" s="588"/>
    <row r="794" ht="12.75" customHeight="1" s="588"/>
    <row r="795" ht="12.75" customHeight="1" s="588"/>
    <row r="796" ht="12.75" customHeight="1" s="588"/>
    <row r="797" ht="12.75" customHeight="1" s="588"/>
    <row r="798" ht="12.75" customHeight="1" s="588"/>
    <row r="799" ht="12.75" customHeight="1" s="588"/>
    <row r="800" ht="12.75" customHeight="1" s="588"/>
    <row r="801" ht="12.75" customHeight="1" s="588"/>
    <row r="802" ht="12.75" customHeight="1" s="588"/>
    <row r="803" ht="12.75" customHeight="1" s="588"/>
    <row r="804" ht="12.75" customHeight="1" s="588"/>
    <row r="805" ht="12.75" customHeight="1" s="588"/>
    <row r="806" ht="12.75" customHeight="1" s="588"/>
    <row r="807" ht="12.75" customHeight="1" s="588"/>
    <row r="808" ht="12.75" customHeight="1" s="588"/>
    <row r="809" ht="12.75" customHeight="1" s="588"/>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60">
    <mergeCell ref="D56:D58"/>
    <mergeCell ref="D53:D55"/>
    <mergeCell ref="I45:I46"/>
    <mergeCell ref="B47:C49"/>
    <mergeCell ref="C23:H26"/>
    <mergeCell ref="B56:C58"/>
    <mergeCell ref="C28:H31"/>
    <mergeCell ref="B59:C61"/>
    <mergeCell ref="A18:B21"/>
    <mergeCell ref="C13:H16"/>
    <mergeCell ref="B50:C52"/>
    <mergeCell ref="I18:J21"/>
    <mergeCell ref="A23:B26"/>
    <mergeCell ref="A6:B6"/>
    <mergeCell ref="I23:J26"/>
    <mergeCell ref="D45:D46"/>
    <mergeCell ref="I8:J11"/>
    <mergeCell ref="A80:K109"/>
    <mergeCell ref="I59:I61"/>
    <mergeCell ref="F45:F46"/>
    <mergeCell ref="A8:B11"/>
    <mergeCell ref="H47:H49"/>
    <mergeCell ref="E50:E52"/>
    <mergeCell ref="E56:E58"/>
    <mergeCell ref="E53:E55"/>
    <mergeCell ref="G50:G52"/>
    <mergeCell ref="I50:I52"/>
    <mergeCell ref="G56:G58"/>
    <mergeCell ref="E47:E49"/>
    <mergeCell ref="C122:J127"/>
    <mergeCell ref="C18:H21"/>
    <mergeCell ref="G47:G49"/>
    <mergeCell ref="H45:H46"/>
    <mergeCell ref="I13:J16"/>
    <mergeCell ref="I28:J31"/>
    <mergeCell ref="A13:B16"/>
    <mergeCell ref="D50:D52"/>
    <mergeCell ref="H59:H61"/>
    <mergeCell ref="D59:D61"/>
    <mergeCell ref="F53:F55"/>
    <mergeCell ref="G59:G61"/>
    <mergeCell ref="H53:H55"/>
    <mergeCell ref="A28:B31"/>
    <mergeCell ref="I6:J7"/>
    <mergeCell ref="B53:C55"/>
    <mergeCell ref="E45:E46"/>
    <mergeCell ref="I47:I49"/>
    <mergeCell ref="G45:G46"/>
    <mergeCell ref="H50:H52"/>
    <mergeCell ref="F59:F61"/>
    <mergeCell ref="E59:E61"/>
    <mergeCell ref="H56:H58"/>
    <mergeCell ref="G53:G55"/>
    <mergeCell ref="I56:I58"/>
    <mergeCell ref="I53:I55"/>
    <mergeCell ref="F56:F58"/>
    <mergeCell ref="D47:D49"/>
    <mergeCell ref="F47:F49"/>
    <mergeCell ref="C8:H11"/>
    <mergeCell ref="F50:F52"/>
  </mergeCells>
  <conditionalFormatting sqref="D47:D49">
    <cfRule type="containsText" priority="1" operator="containsText" dxfId="0" stopIfTrue="1" text="SI">
      <formula>NOT(ISERROR(SEARCH(("SI"),(D47))))</formula>
    </cfRule>
  </conditionalFormatting>
  <conditionalFormatting sqref="D50:D52">
    <cfRule type="containsText" priority="2" operator="containsText" dxfId="0" stopIfTrue="1" text="SI">
      <formula>NOT(ISERROR(SEARCH(("SI"),(D50))))</formula>
    </cfRule>
    <cfRule type="containsText" priority="3" operator="containsText" dxfId="0" stopIfTrue="1" text="SI">
      <formula>NOT(ISERROR(SEARCH(("SI"),(D50))))</formula>
    </cfRule>
  </conditionalFormatting>
  <conditionalFormatting sqref="F47:F49 H47:H49">
    <cfRule type="containsText" priority="4" operator="containsText" dxfId="0" stopIfTrue="1" text="SI">
      <formula>NOT(ISERROR(SEARCH(("SI"),(F47))))</formula>
    </cfRule>
    <cfRule type="containsText" priority="5" operator="containsText" dxfId="0" stopIfTrue="1" text="SI">
      <formula>NOT(ISERROR(SEARCH(("SI"),(F47))))</formula>
    </cfRule>
  </conditionalFormatting>
  <conditionalFormatting sqref="G50:H52">
    <cfRule type="containsText" priority="6" operator="containsText" dxfId="0" stopIfTrue="1" text="SI">
      <formula>NOT(ISERROR(SEARCH(("SI"),(G50))))</formula>
    </cfRule>
  </conditionalFormatting>
  <conditionalFormatting sqref="G53:H55 H56:H58 H59:I61">
    <cfRule type="containsText" priority="7" operator="containsText" dxfId="0" stopIfTrue="1" text="SI">
      <formula>NOT(ISERROR(SEARCH(("SI"),(G53))))</formula>
    </cfRule>
  </conditionalFormatting>
  <conditionalFormatting sqref="I47:I49">
    <cfRule type="containsText" priority="8" operator="containsText" dxfId="0" stopIfTrue="1" text="SI">
      <formula>NOT(ISERROR(SEARCH(("SI"),(I47))))</formula>
    </cfRule>
  </conditionalFormatting>
  <conditionalFormatting sqref="I50:I58">
    <cfRule type="containsText" priority="9" operator="containsText" dxfId="0" stopIfTrue="1" text="SI">
      <formula>NOT(ISERROR(SEARCH(("SI"),(I50))))</formula>
    </cfRule>
  </conditionalFormatting>
  <conditionalFormatting sqref="I50:I52">
    <cfRule type="containsText" priority="10" operator="containsText" dxfId="0" stopIfTrue="1" text="SI">
      <formula>NOT(ISERROR(SEARCH(("SI"),(I50))))</formula>
    </cfRule>
  </conditionalFormatting>
  <conditionalFormatting sqref="I53:I58">
    <cfRule type="containsText" priority="11" operator="containsText" dxfId="0" stopIfTrue="1" text="SI">
      <formula>NOT(ISERROR(SEARCH(("SI"),(I53))))</formula>
    </cfRule>
  </conditionalFormatting>
  <conditionalFormatting sqref="E47:E49">
    <cfRule type="containsText" priority="12" operator="containsText" dxfId="0" stopIfTrue="1" text="SI">
      <formula>NOT(ISERROR(SEARCH(("SI"),(E47))))</formula>
    </cfRule>
  </conditionalFormatting>
  <conditionalFormatting sqref="G47:G49">
    <cfRule type="containsText" priority="13" operator="containsText" dxfId="0" stopIfTrue="1" text="SI">
      <formula>NOT(ISERROR(SEARCH(("SI"),(G47))))</formula>
    </cfRule>
  </conditionalFormatting>
  <conditionalFormatting sqref="E50:E52">
    <cfRule type="containsText" priority="14" operator="containsText" dxfId="0" stopIfTrue="1" text="SI">
      <formula>NOT(ISERROR(SEARCH(("SI"),(E50))))</formula>
    </cfRule>
  </conditionalFormatting>
  <conditionalFormatting sqref="F50:F52">
    <cfRule type="containsText" priority="15" operator="containsText" dxfId="0" stopIfTrue="1" text="SI">
      <formula>NOT(ISERROR(SEARCH(("SI"),(F50))))</formula>
    </cfRule>
  </conditionalFormatting>
  <conditionalFormatting sqref="D53:D55">
    <cfRule type="containsText" priority="16" operator="containsText" dxfId="0" stopIfTrue="1" text="SI">
      <formula>NOT(ISERROR(SEARCH(("SI"),(D53))))</formula>
    </cfRule>
  </conditionalFormatting>
  <conditionalFormatting sqref="E53:E55">
    <cfRule type="containsText" priority="17" operator="containsText" dxfId="0" stopIfTrue="1" text="SI">
      <formula>NOT(ISERROR(SEARCH(("SI"),(E53))))</formula>
    </cfRule>
  </conditionalFormatting>
  <conditionalFormatting sqref="F53:F55">
    <cfRule type="containsText" priority="18" operator="containsText" dxfId="0" stopIfTrue="1" text="SI">
      <formula>NOT(ISERROR(SEARCH(("SI"),(F53))))</formula>
    </cfRule>
  </conditionalFormatting>
  <conditionalFormatting sqref="D56:D58">
    <cfRule type="containsText" priority="19" operator="containsText" dxfId="0" stopIfTrue="1" text="SI">
      <formula>NOT(ISERROR(SEARCH(("SI"),(D56))))</formula>
    </cfRule>
  </conditionalFormatting>
  <conditionalFormatting sqref="E56:E58">
    <cfRule type="containsText" priority="20" operator="containsText" dxfId="0" stopIfTrue="1" text="SI">
      <formula>NOT(ISERROR(SEARCH(("SI"),(E56))))</formula>
    </cfRule>
  </conditionalFormatting>
  <conditionalFormatting sqref="F56:F58">
    <cfRule type="containsText" priority="21" operator="containsText" dxfId="0" stopIfTrue="1" text="SI">
      <formula>NOT(ISERROR(SEARCH(("SI"),(F56))))</formula>
    </cfRule>
  </conditionalFormatting>
  <conditionalFormatting sqref="G56:G58">
    <cfRule type="containsText" priority="22" operator="containsText" dxfId="0" stopIfTrue="1" text="SI">
      <formula>NOT(ISERROR(SEARCH(("SI"),(G56))))</formula>
    </cfRule>
  </conditionalFormatting>
  <conditionalFormatting sqref="D59:D61">
    <cfRule type="containsText" priority="23" operator="containsText" dxfId="0" stopIfTrue="1" text="SI">
      <formula>NOT(ISERROR(SEARCH(("SI"),(D59))))</formula>
    </cfRule>
  </conditionalFormatting>
  <conditionalFormatting sqref="E59:E61">
    <cfRule type="containsText" priority="24" operator="containsText" dxfId="0" stopIfTrue="1" text="SI">
      <formula>NOT(ISERROR(SEARCH(("SI"),(E59))))</formula>
    </cfRule>
  </conditionalFormatting>
  <conditionalFormatting sqref="F59:F61">
    <cfRule type="containsText" priority="25" operator="containsText" dxfId="0" stopIfTrue="1" text="SI">
      <formula>NOT(ISERROR(SEARCH(("SI"),(F59))))</formula>
    </cfRule>
  </conditionalFormatting>
  <conditionalFormatting sqref="G59:G61">
    <cfRule type="containsText" priority="26" operator="containsText" dxfId="0" stopIfTrue="1" text="SI">
      <formula>NOT(ISERROR(SEARCH(("SI"),(G59))))</formula>
    </cfRule>
  </conditionalFormatting>
  <dataValidations count="3">
    <dataValidation sqref="D47:I47 D50:I50 D53:I53 D56:I56 D59:I59" showDropDown="0" showInputMessage="0" showErrorMessage="1" allowBlank="1" type="list">
      <formula1>$D$64:$D$65</formula1>
    </dataValidation>
    <dataValidation sqref="I8 I13 I18 I23 I28" showDropDown="0" showInputMessage="0" showErrorMessage="1" allowBlank="1" type="list">
      <formula1>$E$32:$E$34</formula1>
    </dataValidation>
    <dataValidation sqref="D64" showDropDown="0" showInputMessage="0" showErrorMessage="1" allowBlank="1" type="list">
      <formula1>$D$64:$D$66</formula1>
    </dataValidation>
  </dataValidations>
  <pageMargins left="0.7086614173228347" right="0.7086614173228347" top="0.9448818897637796" bottom="0.7480314960629921" header="0" footer="0"/>
  <pageSetup orientation="landscape" paperSize="9"/>
  <headerFooter>
    <oddHeader/>
    <oddFooter>&amp;L00-048&amp;F&amp;C03+079Metodología INCYNCO&amp;R00-048 El Qué &amp;P</oddFooter>
    <evenHeader/>
    <evenFooter/>
    <firstHeader/>
    <firstFooter/>
  </headerFooter>
</worksheet>
</file>

<file path=xl/worksheets/sheet6.xml><?xml version="1.0" encoding="utf-8"?>
<worksheet xmlns="http://schemas.openxmlformats.org/spreadsheetml/2006/main">
  <sheetPr>
    <tabColor rgb="FFC6D9F0"/>
    <outlinePr summaryBelow="1" summaryRight="1"/>
    <pageSetUpPr/>
  </sheetPr>
  <dimension ref="A1:Z1000"/>
  <sheetViews>
    <sheetView workbookViewId="0">
      <selection activeCell="A1" sqref="A1"/>
    </sheetView>
  </sheetViews>
  <sheetFormatPr baseColWidth="8" defaultColWidth="14.43" defaultRowHeight="15" customHeight="1"/>
  <cols>
    <col width="8.140000000000001" customWidth="1" style="588" min="1" max="2"/>
    <col width="8.289999999999999" customWidth="1" style="588" min="3" max="14"/>
    <col width="9.710000000000001" customWidth="1" style="588" min="15" max="15"/>
    <col width="8" customWidth="1" style="588" min="16" max="16"/>
    <col width="11.29" customWidth="1" style="588" min="17" max="26"/>
  </cols>
  <sheetData>
    <row r="1" ht="12.75" customHeight="1" s="588">
      <c r="A1" s="8" t="inlineStr">
        <is>
          <t>¿CUÁNTO Y CUÁNDO?</t>
        </is>
      </c>
      <c r="B1" s="1" t="n"/>
      <c r="C1" s="1" t="n"/>
      <c r="D1" s="1" t="n"/>
      <c r="E1" s="1" t="n"/>
      <c r="F1" s="1" t="n"/>
      <c r="G1" s="1" t="n"/>
      <c r="H1" s="1" t="n"/>
      <c r="I1" s="1" t="n"/>
      <c r="J1" s="185" t="n"/>
      <c r="K1" s="185" t="n"/>
      <c r="L1" s="1" t="n"/>
      <c r="M1" s="1" t="n"/>
      <c r="N1" s="1" t="n"/>
      <c r="O1" s="1" t="n"/>
      <c r="P1" s="185" t="inlineStr">
        <is>
          <t>Plan Financiero</t>
        </is>
      </c>
      <c r="Q1" s="16" t="n"/>
      <c r="R1" s="16" t="n"/>
      <c r="S1" s="16" t="n"/>
      <c r="T1" s="16" t="n"/>
      <c r="U1" s="16" t="n"/>
      <c r="V1" s="16" t="n"/>
      <c r="W1" s="16" t="n"/>
      <c r="X1" s="16" t="n"/>
      <c r="Y1" s="16" t="n"/>
      <c r="Z1" s="16" t="n"/>
    </row>
    <row r="2" ht="12.75" customHeight="1" s="588">
      <c r="A2" s="1" t="n"/>
      <c r="B2" s="1" t="n"/>
      <c r="C2" s="1" t="n"/>
      <c r="D2" s="1" t="n"/>
      <c r="E2" s="1" t="n"/>
      <c r="F2" s="1" t="n"/>
      <c r="G2" s="1" t="n"/>
      <c r="H2" s="1" t="n"/>
      <c r="I2" s="1" t="n"/>
      <c r="J2" s="1" t="n"/>
      <c r="K2" s="1" t="n"/>
      <c r="L2" s="1" t="n"/>
      <c r="M2" s="1" t="n"/>
      <c r="N2" s="1" t="n"/>
      <c r="O2" s="1" t="n"/>
      <c r="P2" s="1"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c r="L3" s="1" t="n"/>
      <c r="M3" s="1" t="n"/>
      <c r="N3" s="1" t="n"/>
      <c r="O3" s="1" t="n"/>
      <c r="P3" s="1" t="n"/>
      <c r="Q3" s="16" t="n"/>
      <c r="R3" s="16" t="n"/>
      <c r="S3" s="16" t="n"/>
      <c r="T3" s="16" t="n"/>
      <c r="U3" s="16" t="n"/>
      <c r="V3" s="16" t="n"/>
      <c r="W3" s="16" t="n"/>
      <c r="X3" s="16" t="n"/>
      <c r="Y3" s="16" t="n"/>
      <c r="Z3" s="16" t="n"/>
    </row>
    <row r="4" ht="12.75" customHeight="1" s="588">
      <c r="A4" s="1" t="n"/>
      <c r="B4" s="1" t="n"/>
      <c r="C4" s="1" t="n"/>
      <c r="D4" s="1" t="n"/>
      <c r="E4" s="1" t="n"/>
      <c r="F4" s="1" t="n"/>
      <c r="G4" s="1" t="n"/>
      <c r="H4" s="1" t="n"/>
      <c r="I4" s="1" t="n"/>
      <c r="J4" s="1" t="n"/>
      <c r="K4" s="1" t="n"/>
      <c r="L4" s="1" t="n"/>
      <c r="M4" s="1" t="n"/>
      <c r="N4" s="1" t="n"/>
      <c r="O4" s="1" t="n"/>
      <c r="P4" s="1" t="n"/>
      <c r="Q4" s="16" t="n"/>
      <c r="R4" s="16" t="n"/>
      <c r="S4" s="16" t="n"/>
      <c r="T4" s="16" t="n"/>
      <c r="U4" s="16" t="n"/>
      <c r="V4" s="16" t="n"/>
      <c r="W4" s="16" t="n"/>
      <c r="X4" s="16" t="n"/>
      <c r="Y4" s="16" t="n"/>
      <c r="Z4" s="16" t="n"/>
    </row>
    <row r="5" ht="12.75" customHeight="1" s="588">
      <c r="A5" s="1" t="n"/>
      <c r="B5" s="1" t="n"/>
      <c r="C5" s="1" t="n"/>
      <c r="D5" s="1" t="n"/>
      <c r="E5" s="1" t="n"/>
      <c r="F5" s="62" t="n"/>
      <c r="G5" s="1" t="n"/>
      <c r="H5" s="1" t="n"/>
      <c r="I5" s="130" t="inlineStr">
        <is>
          <t>Hipótesis</t>
        </is>
      </c>
      <c r="J5" s="1" t="n"/>
      <c r="K5" s="1" t="n"/>
      <c r="L5" s="1" t="n"/>
      <c r="M5" s="1" t="n"/>
      <c r="N5" s="1" t="n"/>
      <c r="O5" s="1" t="n"/>
      <c r="P5" s="1" t="n"/>
      <c r="Q5" s="16" t="n"/>
      <c r="R5" s="16" t="n"/>
      <c r="S5" s="16" t="n"/>
      <c r="T5" s="16" t="n"/>
      <c r="U5" s="16" t="n"/>
      <c r="V5" s="16" t="n"/>
      <c r="W5" s="16" t="n"/>
      <c r="X5" s="16" t="n"/>
      <c r="Y5" s="16" t="n"/>
      <c r="Z5" s="16" t="n"/>
    </row>
    <row r="6" ht="12.75" customHeight="1" s="588">
      <c r="A6" s="1" t="n"/>
      <c r="B6" s="1" t="n"/>
      <c r="C6" s="1" t="n"/>
      <c r="D6" s="1" t="n"/>
      <c r="E6" s="1" t="n"/>
      <c r="F6" s="1" t="n"/>
      <c r="G6" s="1" t="n"/>
      <c r="H6" s="1" t="n"/>
      <c r="I6" s="1" t="n"/>
      <c r="J6" s="1" t="n"/>
      <c r="K6" s="1" t="n"/>
      <c r="L6" s="1" t="n"/>
      <c r="M6" s="1" t="n"/>
      <c r="N6" s="1" t="n"/>
      <c r="O6" s="1" t="n"/>
      <c r="P6" s="1" t="n"/>
      <c r="Q6" s="16" t="n"/>
      <c r="R6" s="16" t="n"/>
      <c r="S6" s="16" t="n"/>
      <c r="T6" s="16" t="n"/>
      <c r="U6" s="16" t="n"/>
      <c r="V6" s="16" t="n"/>
      <c r="W6" s="16" t="n"/>
      <c r="X6" s="16" t="n"/>
      <c r="Y6" s="16" t="n"/>
      <c r="Z6" s="16" t="n"/>
    </row>
    <row r="7" ht="12.75" customHeight="1" s="588">
      <c r="A7" s="1" t="n"/>
      <c r="B7" s="1" t="n"/>
      <c r="C7" s="1" t="n"/>
      <c r="D7" s="1" t="n"/>
      <c r="E7" s="1" t="n"/>
      <c r="F7" s="1" t="n"/>
      <c r="G7" s="1" t="n"/>
      <c r="H7" s="1" t="n"/>
      <c r="I7" s="1" t="n"/>
      <c r="J7" s="1" t="n"/>
      <c r="K7" s="1" t="n"/>
      <c r="L7" s="1" t="n"/>
      <c r="M7" s="1" t="n"/>
      <c r="N7" s="1" t="n"/>
      <c r="O7" s="1" t="n"/>
      <c r="P7" s="1" t="n"/>
      <c r="Q7" s="16" t="n"/>
      <c r="R7" s="16" t="n"/>
      <c r="S7" s="16" t="n"/>
      <c r="T7" s="16" t="n"/>
      <c r="U7" s="16" t="n"/>
      <c r="V7" s="16" t="n"/>
      <c r="W7" s="16" t="n"/>
      <c r="X7" s="16" t="n"/>
      <c r="Y7" s="16" t="n"/>
      <c r="Z7" s="16" t="n"/>
    </row>
    <row r="8" ht="12.75" customHeight="1" s="588">
      <c r="A8" s="1" t="n"/>
      <c r="B8" s="1" t="n"/>
      <c r="C8" s="1" t="n"/>
      <c r="D8" s="1" t="n"/>
      <c r="E8" s="1" t="n"/>
      <c r="F8" s="1" t="n"/>
      <c r="G8" s="1" t="n"/>
      <c r="H8" s="1" t="n"/>
      <c r="I8" s="1" t="n"/>
      <c r="J8" s="1" t="n"/>
      <c r="K8" s="1" t="n"/>
      <c r="L8" s="1" t="n"/>
      <c r="M8" s="1" t="n"/>
      <c r="N8" s="1" t="n"/>
      <c r="O8" s="1" t="n"/>
      <c r="P8" s="1" t="n"/>
      <c r="Q8" s="16" t="n"/>
      <c r="R8" s="16" t="n"/>
      <c r="S8" s="16" t="n"/>
      <c r="T8" s="16" t="n"/>
      <c r="U8" s="16" t="n"/>
      <c r="V8" s="16" t="n"/>
      <c r="W8" s="16" t="n"/>
      <c r="X8" s="16" t="n"/>
      <c r="Y8" s="16" t="n"/>
      <c r="Z8" s="16" t="n"/>
    </row>
    <row r="9" ht="12.75" customHeight="1" s="588">
      <c r="A9" s="1" t="n"/>
      <c r="B9" s="282" t="inlineStr">
        <is>
          <t>TIPOS DE IMPUESTO QUE SE APLICARÁN AL NEGOCIO</t>
        </is>
      </c>
      <c r="C9" s="1" t="n"/>
      <c r="D9" s="1" t="n"/>
      <c r="E9" s="1" t="n"/>
      <c r="F9" s="1" t="n"/>
      <c r="G9" s="1" t="n"/>
      <c r="H9" s="1" t="n"/>
      <c r="I9" s="1" t="n"/>
      <c r="J9" s="1" t="n"/>
      <c r="K9" s="1" t="n"/>
      <c r="L9" s="1" t="n"/>
      <c r="M9" s="1" t="n"/>
      <c r="N9" s="1" t="n"/>
      <c r="O9" s="1" t="n"/>
      <c r="P9" s="1" t="n"/>
      <c r="Q9" s="16" t="n"/>
      <c r="R9" s="16" t="n"/>
      <c r="S9" s="16" t="n"/>
      <c r="T9" s="16" t="n"/>
      <c r="U9" s="16" t="n"/>
      <c r="V9" s="16" t="n"/>
      <c r="W9" s="16" t="n"/>
      <c r="X9" s="16" t="n"/>
      <c r="Y9" s="16" t="n"/>
      <c r="Z9" s="16" t="n"/>
    </row>
    <row r="10" ht="12.75" customHeight="1" s="588">
      <c r="A10" s="1" t="n"/>
      <c r="B10" s="1" t="n"/>
      <c r="C10" s="1" t="n"/>
      <c r="D10" s="1" t="n"/>
      <c r="E10" s="1" t="n"/>
      <c r="F10" s="1" t="n"/>
      <c r="G10" s="1" t="n"/>
      <c r="H10" s="1" t="n"/>
      <c r="I10" s="1" t="n"/>
      <c r="J10" s="1" t="n"/>
      <c r="K10" s="1" t="n"/>
      <c r="L10" s="1" t="n"/>
      <c r="M10" s="1" t="n"/>
      <c r="N10" s="1" t="n"/>
      <c r="O10" s="1" t="n"/>
      <c r="P10" s="1" t="n"/>
      <c r="Q10" s="16" t="n"/>
      <c r="R10" s="16" t="n"/>
      <c r="S10" s="16" t="n"/>
      <c r="T10" s="16" t="n"/>
      <c r="U10" s="16" t="n"/>
      <c r="V10" s="16" t="n"/>
      <c r="W10" s="16" t="n"/>
      <c r="X10" s="16" t="n"/>
      <c r="Y10" s="16" t="n"/>
      <c r="Z10" s="16" t="n"/>
    </row>
    <row r="11" ht="12.75" customHeight="1" s="588">
      <c r="A11" s="1" t="n"/>
      <c r="B11" s="282" t="n"/>
      <c r="C11" s="283" t="n"/>
      <c r="D11" s="1" t="n"/>
      <c r="E11" s="1" t="n"/>
      <c r="F11" s="283" t="inlineStr">
        <is>
          <t>Impuesto de las Compras</t>
        </is>
      </c>
      <c r="G11" s="284" t="n">
        <v>0.21</v>
      </c>
      <c r="H11" s="1" t="n"/>
      <c r="I11" s="283" t="n"/>
      <c r="J11" s="736" t="n"/>
      <c r="K11" s="593" t="n"/>
      <c r="L11" s="593" t="n"/>
      <c r="M11" s="593" t="n"/>
      <c r="N11" s="593" t="n"/>
      <c r="O11" s="594" t="n"/>
      <c r="P11" s="1" t="n"/>
      <c r="Q11" s="16" t="n"/>
      <c r="R11" s="16" t="n"/>
      <c r="S11" s="16" t="n"/>
      <c r="T11" s="16" t="n"/>
      <c r="U11" s="16" t="n"/>
      <c r="V11" s="16" t="n"/>
      <c r="W11" s="16" t="n"/>
      <c r="X11" s="16" t="n"/>
      <c r="Y11" s="16" t="n"/>
      <c r="Z11" s="16" t="n"/>
    </row>
    <row r="12" ht="12.75" customHeight="1" s="588">
      <c r="A12" s="1" t="n"/>
      <c r="B12" s="1" t="n"/>
      <c r="C12" s="1" t="n"/>
      <c r="D12" s="1" t="n"/>
      <c r="E12" s="1" t="n"/>
      <c r="F12" s="1" t="n"/>
      <c r="G12" s="1" t="n"/>
      <c r="H12" s="1" t="n"/>
      <c r="I12" s="1" t="n"/>
      <c r="J12" s="595" t="n"/>
      <c r="O12" s="596" t="n"/>
      <c r="P12" s="1" t="n"/>
      <c r="Q12" s="16" t="n"/>
      <c r="R12" s="16" t="n"/>
      <c r="S12" s="16" t="n"/>
      <c r="T12" s="16" t="n"/>
      <c r="U12" s="16" t="n"/>
      <c r="V12" s="16" t="n"/>
      <c r="W12" s="16" t="n"/>
      <c r="X12" s="16" t="n"/>
      <c r="Y12" s="16" t="n"/>
      <c r="Z12" s="16" t="n"/>
    </row>
    <row r="13" ht="12.75" customHeight="1" s="588">
      <c r="A13" s="1" t="n"/>
      <c r="B13" s="282" t="n"/>
      <c r="C13" s="283" t="n"/>
      <c r="D13" s="286" t="n"/>
      <c r="E13" s="286" t="n"/>
      <c r="F13" s="283" t="inlineStr">
        <is>
          <t>Impuesto de las Ventas</t>
        </is>
      </c>
      <c r="G13" s="284" t="n">
        <v>0.21</v>
      </c>
      <c r="H13" s="1" t="n"/>
      <c r="I13" s="283" t="n"/>
      <c r="J13" s="597" t="n"/>
      <c r="K13" s="598" t="n"/>
      <c r="L13" s="598" t="n"/>
      <c r="M13" s="598" t="n"/>
      <c r="N13" s="598" t="n"/>
      <c r="O13" s="599" t="n"/>
      <c r="P13" s="1" t="n"/>
      <c r="Q13" s="16" t="n"/>
      <c r="R13" s="16" t="n"/>
      <c r="S13" s="16" t="n"/>
      <c r="T13" s="16" t="n"/>
      <c r="U13" s="16" t="n"/>
      <c r="V13" s="16" t="n"/>
      <c r="W13" s="16" t="n"/>
      <c r="X13" s="16" t="n"/>
      <c r="Y13" s="16" t="n"/>
      <c r="Z13" s="16" t="n"/>
    </row>
    <row r="14" ht="12.75" customHeight="1" s="588">
      <c r="A14" s="1" t="n"/>
      <c r="B14" s="1" t="n"/>
      <c r="C14" s="1" t="n"/>
      <c r="D14" s="83" t="n"/>
      <c r="E14" s="1" t="n"/>
      <c r="F14" s="1" t="n"/>
      <c r="G14" s="83">
        <f>IF(G11="R.E.","(En Recargo de Equivalencia elegir 0%)","")</f>
        <v/>
      </c>
      <c r="H14" s="1" t="n"/>
      <c r="I14" s="1" t="n"/>
      <c r="J14" s="287" t="n"/>
      <c r="K14" s="1" t="n"/>
      <c r="L14" s="1" t="n"/>
      <c r="M14" s="1" t="n"/>
      <c r="N14" s="1" t="n"/>
      <c r="O14" s="1" t="n"/>
      <c r="P14" s="1" t="n"/>
      <c r="Q14" s="16" t="n"/>
      <c r="R14" s="16" t="n"/>
      <c r="S14" s="16" t="n"/>
      <c r="T14" s="16" t="n"/>
      <c r="U14" s="16" t="n"/>
      <c r="V14" s="16" t="n"/>
      <c r="W14" s="16" t="n"/>
      <c r="X14" s="16" t="n"/>
      <c r="Y14" s="16" t="n"/>
      <c r="Z14" s="16" t="n"/>
    </row>
    <row r="15" ht="12.75" customHeight="1" s="588">
      <c r="A15" s="1" t="n"/>
      <c r="B15" s="1" t="n"/>
      <c r="C15" s="1" t="n"/>
      <c r="D15" s="1" t="n"/>
      <c r="E15" s="1" t="n"/>
      <c r="F15" s="283" t="inlineStr">
        <is>
          <t>Impuesto de los Gastos Generales</t>
        </is>
      </c>
      <c r="G15" s="284" t="n">
        <v>0.21</v>
      </c>
      <c r="H15" s="1" t="n"/>
      <c r="I15" s="1" t="n"/>
      <c r="J15" s="1" t="n"/>
      <c r="K15" s="1" t="n"/>
      <c r="L15" s="1" t="n"/>
      <c r="M15" s="1" t="n"/>
      <c r="N15" s="1" t="n"/>
      <c r="O15" s="1" t="n"/>
      <c r="P15" s="1" t="n"/>
      <c r="Q15" s="16" t="n"/>
      <c r="R15" s="16" t="n"/>
      <c r="S15" s="16" t="n"/>
      <c r="T15" s="16" t="n"/>
      <c r="U15" s="16" t="n"/>
      <c r="V15" s="16" t="n"/>
      <c r="W15" s="16" t="n"/>
      <c r="X15" s="16" t="n"/>
      <c r="Y15" s="16" t="n"/>
      <c r="Z15" s="16" t="n"/>
    </row>
    <row r="16" ht="12.75" customHeight="1" s="588">
      <c r="A16" s="1" t="n"/>
      <c r="B16" s="1" t="n"/>
      <c r="C16" s="1" t="n"/>
      <c r="D16" s="1" t="n"/>
      <c r="E16" s="1" t="n"/>
      <c r="F16" s="1" t="n"/>
      <c r="G16" s="1" t="n"/>
      <c r="H16" s="1" t="n"/>
      <c r="I16" s="1" t="n"/>
      <c r="J16" s="1" t="n"/>
      <c r="K16" s="1" t="n"/>
      <c r="L16" s="1" t="n"/>
      <c r="M16" s="1" t="n"/>
      <c r="N16" s="1" t="n"/>
      <c r="O16" s="1" t="n"/>
      <c r="P16" s="1" t="n"/>
      <c r="Q16" s="16" t="n"/>
      <c r="R16" s="16" t="n"/>
      <c r="S16" s="16" t="n"/>
      <c r="T16" s="16" t="n"/>
      <c r="U16" s="16" t="n"/>
      <c r="V16" s="16" t="n"/>
      <c r="W16" s="16" t="n"/>
      <c r="X16" s="16" t="n"/>
      <c r="Y16" s="16" t="n"/>
      <c r="Z16" s="16" t="n"/>
    </row>
    <row r="17" ht="12.75" customHeight="1" s="588">
      <c r="A17" s="1" t="n"/>
      <c r="B17" s="1" t="n"/>
      <c r="C17" s="1" t="n"/>
      <c r="D17" s="1" t="n"/>
      <c r="E17" s="1" t="n"/>
      <c r="F17" s="1" t="n"/>
      <c r="G17" s="1" t="n"/>
      <c r="H17" s="1" t="n"/>
      <c r="I17" s="1" t="n"/>
      <c r="J17" s="1" t="n"/>
      <c r="K17" s="1" t="n"/>
      <c r="L17" s="1" t="n"/>
      <c r="M17" s="1" t="n"/>
      <c r="N17" s="1" t="n"/>
      <c r="O17" s="1" t="n"/>
      <c r="P17" s="1" t="n"/>
      <c r="Q17" s="16" t="n"/>
      <c r="R17" s="16" t="n"/>
      <c r="S17" s="16" t="n"/>
      <c r="T17" s="16" t="n"/>
      <c r="U17" s="16" t="n"/>
      <c r="V17" s="16" t="n"/>
      <c r="W17" s="16" t="n"/>
      <c r="X17" s="16" t="n"/>
      <c r="Y17" s="16" t="n"/>
      <c r="Z17" s="16" t="n"/>
    </row>
    <row r="18" ht="12.75" customHeight="1" s="588">
      <c r="A18" s="1" t="n"/>
      <c r="B18" s="282" t="inlineStr">
        <is>
          <t>IMPUESTO SOBRE BENEFICIOS POR EL QUE TRIBUTARÁ EL NEGOCIO</t>
        </is>
      </c>
      <c r="C18" s="1" t="n"/>
      <c r="D18" s="1" t="n"/>
      <c r="E18" s="1" t="n"/>
      <c r="F18" s="1" t="n"/>
      <c r="G18" s="1" t="n"/>
      <c r="H18" s="1" t="n"/>
      <c r="I18" s="1" t="n"/>
      <c r="J18" s="1" t="n"/>
      <c r="K18" s="1" t="n"/>
      <c r="L18" s="1" t="n"/>
      <c r="M18" s="1" t="n"/>
      <c r="N18" s="1" t="n"/>
      <c r="O18" s="1" t="n"/>
      <c r="P18" s="1" t="n"/>
      <c r="Q18" s="16" t="n"/>
      <c r="R18" s="16" t="n"/>
      <c r="S18" s="16" t="n"/>
      <c r="T18" s="16" t="n"/>
      <c r="U18" s="16" t="n"/>
      <c r="V18" s="16" t="n"/>
      <c r="W18" s="16" t="n"/>
      <c r="X18" s="16" t="n"/>
      <c r="Y18" s="16" t="n"/>
      <c r="Z18" s="16" t="n"/>
    </row>
    <row r="19" ht="12.75" customHeight="1" s="588">
      <c r="A19" s="1" t="n"/>
      <c r="B19" s="1" t="n"/>
      <c r="C19" s="1" t="n"/>
      <c r="D19" s="1" t="n"/>
      <c r="E19" s="1" t="n"/>
      <c r="F19" s="1" t="n"/>
      <c r="G19" s="1" t="n"/>
      <c r="H19" s="1" t="n"/>
      <c r="I19" s="1" t="n"/>
      <c r="J19" s="1" t="n"/>
      <c r="K19" s="1" t="n"/>
      <c r="L19" s="1" t="n"/>
      <c r="M19" s="1" t="n"/>
      <c r="N19" s="1" t="n"/>
      <c r="O19" s="1" t="n"/>
      <c r="P19" s="1" t="n"/>
      <c r="Q19" s="16" t="n"/>
      <c r="R19" s="16" t="n"/>
      <c r="S19" s="16" t="n"/>
      <c r="T19" s="16" t="n"/>
      <c r="U19" s="16" t="n"/>
      <c r="V19" s="16" t="n"/>
      <c r="W19" s="16" t="n"/>
      <c r="X19" s="16" t="n"/>
      <c r="Y19" s="16" t="n"/>
      <c r="Z19" s="16" t="n"/>
    </row>
    <row r="20" ht="12.75" customHeight="1" s="588">
      <c r="A20" s="1" t="n"/>
      <c r="B20" s="1" t="n"/>
      <c r="C20" s="283" t="inlineStr">
        <is>
          <t>Tipo impositivo</t>
        </is>
      </c>
      <c r="D20" s="288">
        <f>'CÓMO'!F401</f>
        <v/>
      </c>
      <c r="E20" s="1" t="n"/>
      <c r="F20" s="289">
        <f>IF(D20=25%,P28,IF(D20=20%,P29,IF(D20=15%,P31,P30)))</f>
        <v/>
      </c>
      <c r="G20" s="1" t="n"/>
      <c r="H20" s="1" t="n"/>
      <c r="I20" s="1" t="n"/>
      <c r="J20" s="1" t="n"/>
      <c r="K20" s="1" t="n"/>
      <c r="L20" s="1" t="n"/>
      <c r="M20" s="1" t="n"/>
      <c r="N20" s="1" t="n"/>
      <c r="O20" s="1" t="n"/>
      <c r="P20" s="1" t="n"/>
      <c r="Q20" s="16" t="n"/>
      <c r="R20" s="16" t="n"/>
      <c r="S20" s="16" t="n"/>
      <c r="T20" s="16" t="n"/>
      <c r="U20" s="16" t="n"/>
      <c r="V20" s="16" t="n"/>
      <c r="W20" s="16" t="n"/>
      <c r="X20" s="16" t="n"/>
      <c r="Y20" s="16" t="n"/>
      <c r="Z20" s="16" t="n"/>
    </row>
    <row r="21" ht="12.75" customHeight="1" s="588">
      <c r="A21" s="1" t="n"/>
      <c r="B21" s="1" t="n"/>
      <c r="C21" s="1" t="n"/>
      <c r="D21" s="290" t="n"/>
      <c r="E21" s="1" t="n"/>
      <c r="F21" s="83">
        <f>IF(D20=25%,"                                             Tipo del 15% los dos primeros años",IF(D20=20%,"                                         Bonificación del 20% del Rendimiento Neto los dos primeros años",IF(D20=15%,"                                                Retención del 7% los dos primeros años","                                                                                                                                                                                     Módulo Trimestral:")))</f>
        <v/>
      </c>
      <c r="G21" s="1" t="n"/>
      <c r="H21" s="1" t="n"/>
      <c r="I21" s="1" t="n"/>
      <c r="J21" s="1" t="n"/>
      <c r="K21" s="1" t="n"/>
      <c r="L21" s="291" t="n"/>
      <c r="M21" s="1" t="n"/>
      <c r="N21" s="1" t="n"/>
      <c r="O21" s="1" t="n"/>
      <c r="P21" s="1" t="n"/>
      <c r="Q21" s="16" t="n"/>
      <c r="R21" s="16" t="n"/>
      <c r="S21" s="16" t="n"/>
      <c r="T21" s="16" t="n"/>
      <c r="U21" s="16" t="n"/>
      <c r="V21" s="16" t="n"/>
      <c r="W21" s="16" t="n"/>
      <c r="X21" s="16" t="n"/>
      <c r="Y21" s="16" t="n"/>
      <c r="Z21" s="16" t="n"/>
    </row>
    <row r="22" ht="12.75" customHeight="1" s="588">
      <c r="A22" s="1" t="n"/>
      <c r="B22" s="1" t="n"/>
      <c r="C22" s="1" t="n"/>
      <c r="D22" s="1" t="n"/>
      <c r="E22" s="1" t="n"/>
      <c r="F22" s="1" t="n"/>
      <c r="G22" s="1" t="n"/>
      <c r="H22" s="1" t="n"/>
      <c r="I22" s="1" t="n"/>
      <c r="J22" s="1" t="n"/>
      <c r="K22" s="1" t="n"/>
      <c r="L22" s="1" t="n"/>
      <c r="M22" s="1" t="n"/>
      <c r="N22" s="1" t="n"/>
      <c r="O22" s="1" t="n"/>
      <c r="P22" s="1" t="n"/>
      <c r="Q22" s="16" t="n"/>
      <c r="R22" s="16" t="n"/>
      <c r="S22" s="16" t="n"/>
      <c r="T22" s="16" t="n"/>
      <c r="U22" s="16" t="n"/>
      <c r="V22" s="16" t="n"/>
      <c r="W22" s="16" t="n"/>
      <c r="X22" s="16" t="n"/>
      <c r="Y22" s="16" t="n"/>
      <c r="Z22" s="16" t="n"/>
    </row>
    <row r="23" ht="12.75" customHeight="1" s="588">
      <c r="A23" s="1" t="n"/>
      <c r="B23" s="1" t="n"/>
      <c r="C23" s="1" t="n"/>
      <c r="D23" s="1" t="n"/>
      <c r="E23" s="1" t="n"/>
      <c r="F23" s="1" t="n"/>
      <c r="G23" s="1" t="n"/>
      <c r="H23" s="1" t="n"/>
      <c r="I23" s="1" t="n"/>
      <c r="J23" s="1" t="n"/>
      <c r="K23" s="1" t="n"/>
      <c r="L23" s="1" t="n"/>
      <c r="M23" s="1" t="n"/>
      <c r="N23" s="1" t="n"/>
      <c r="O23" s="1" t="n"/>
      <c r="P23" s="1" t="n"/>
      <c r="Q23" s="16" t="n"/>
      <c r="R23" s="16" t="n"/>
      <c r="S23" s="16" t="n"/>
      <c r="T23" s="16" t="n"/>
      <c r="U23" s="16" t="n"/>
      <c r="V23" s="16" t="n"/>
      <c r="W23" s="16" t="n"/>
      <c r="X23" s="16" t="n"/>
      <c r="Y23" s="16" t="n"/>
      <c r="Z23" s="16" t="n"/>
    </row>
    <row r="24" ht="12.75" customHeight="1" s="588">
      <c r="A24" s="1" t="n"/>
      <c r="B24" s="1" t="n"/>
      <c r="C24" s="1" t="n"/>
      <c r="D24" s="1" t="n"/>
      <c r="E24" s="1" t="n"/>
      <c r="F24" s="1" t="n"/>
      <c r="G24" s="1" t="n"/>
      <c r="H24" s="1" t="n"/>
      <c r="I24" s="1" t="n"/>
      <c r="J24" s="1" t="n"/>
      <c r="K24" s="1" t="n"/>
      <c r="L24" s="1" t="n"/>
      <c r="M24" s="1" t="n"/>
      <c r="N24" s="1" t="n"/>
      <c r="O24" s="1" t="n"/>
      <c r="P24" s="1" t="n"/>
      <c r="Q24" s="16" t="n"/>
      <c r="R24" s="16" t="n"/>
      <c r="S24" s="16" t="n"/>
      <c r="T24" s="16" t="n"/>
      <c r="U24" s="16" t="n"/>
      <c r="V24" s="16" t="n"/>
      <c r="W24" s="16" t="n"/>
      <c r="X24" s="16" t="n"/>
      <c r="Y24" s="16" t="n"/>
      <c r="Z24" s="16" t="n"/>
    </row>
    <row r="25" ht="12.75" customHeight="1" s="588">
      <c r="A25" s="282" t="n"/>
      <c r="B25" s="282" t="inlineStr">
        <is>
          <t>INFLACIÓN ANUAL MEDIA ESPERADA:</t>
        </is>
      </c>
      <c r="C25" s="1" t="n"/>
      <c r="D25" s="1" t="n"/>
      <c r="E25" s="1" t="n"/>
      <c r="F25" s="1" t="n"/>
      <c r="G25" s="1" t="n"/>
      <c r="H25" s="284" t="n">
        <v>0.03</v>
      </c>
      <c r="I25" s="1" t="n"/>
      <c r="J25" s="1" t="n"/>
      <c r="K25" s="1" t="n"/>
      <c r="L25" s="1" t="n"/>
      <c r="M25" s="1" t="n"/>
      <c r="N25" s="1" t="n"/>
      <c r="O25" s="1" t="n"/>
      <c r="P25" s="1" t="n"/>
      <c r="Q25" s="16" t="n"/>
      <c r="R25" s="16" t="n"/>
      <c r="S25" s="16" t="n"/>
      <c r="T25" s="16" t="n"/>
      <c r="U25" s="16" t="n"/>
      <c r="V25" s="16" t="n"/>
      <c r="W25" s="16" t="n"/>
      <c r="X25" s="16" t="n"/>
      <c r="Y25" s="16" t="n"/>
      <c r="Z25" s="16" t="n"/>
    </row>
    <row r="26" hidden="1" ht="12.75" customHeight="1" s="588">
      <c r="A26" s="292" t="n">
        <v>100</v>
      </c>
      <c r="B26" s="292" t="n">
        <v>200</v>
      </c>
      <c r="C26" s="292" t="n">
        <v>300</v>
      </c>
      <c r="D26" s="292" t="n">
        <v>400</v>
      </c>
      <c r="E26" s="292" t="n">
        <v>500</v>
      </c>
      <c r="F26" s="292" t="n">
        <v>600</v>
      </c>
      <c r="G26" s="292" t="n">
        <v>700</v>
      </c>
      <c r="H26" s="292" t="n">
        <v>800</v>
      </c>
      <c r="I26" s="292" t="n">
        <v>900</v>
      </c>
      <c r="J26" s="292" t="n">
        <v>1000</v>
      </c>
      <c r="K26" s="292" t="n">
        <v>1200</v>
      </c>
      <c r="L26" s="292" t="n">
        <v>1400</v>
      </c>
      <c r="M26" s="292" t="n">
        <v>1600</v>
      </c>
      <c r="N26" s="292" t="n">
        <v>1800</v>
      </c>
      <c r="O26" s="292" t="n">
        <v>2000</v>
      </c>
      <c r="P26" s="292" t="n">
        <v>2500</v>
      </c>
      <c r="Q26" s="16" t="n"/>
      <c r="R26" s="16" t="n"/>
      <c r="S26" s="16" t="n"/>
      <c r="T26" s="16" t="n"/>
      <c r="U26" s="16" t="n"/>
      <c r="V26" s="16" t="n"/>
      <c r="W26" s="16" t="n"/>
      <c r="X26" s="16" t="n"/>
      <c r="Y26" s="16" t="n"/>
      <c r="Z26" s="16" t="n"/>
    </row>
    <row r="27" hidden="1" ht="12.75" customHeight="1" s="588">
      <c r="A27" s="293">
        <f>M117</f>
        <v/>
      </c>
      <c r="B27" s="293">
        <f>O117</f>
        <v/>
      </c>
      <c r="C27" s="292" t="n"/>
      <c r="D27" s="292" t="n"/>
      <c r="E27" s="292" t="n"/>
      <c r="F27" s="292" t="n"/>
      <c r="G27" s="292" t="n"/>
      <c r="H27" s="292" t="n"/>
      <c r="I27" s="292" t="n"/>
      <c r="J27" s="292" t="n"/>
      <c r="K27" s="292" t="n"/>
      <c r="L27" s="292" t="n"/>
      <c r="M27" s="292" t="n"/>
      <c r="N27" s="292" t="n"/>
      <c r="O27" s="292" t="n"/>
      <c r="P27" s="292" t="n"/>
      <c r="Q27" s="16" t="n"/>
      <c r="R27" s="16" t="n"/>
      <c r="S27" s="16" t="n"/>
      <c r="T27" s="16" t="n"/>
      <c r="U27" s="16" t="n"/>
      <c r="V27" s="16" t="n"/>
      <c r="W27" s="16" t="n"/>
      <c r="X27" s="16" t="n"/>
      <c r="Y27" s="16" t="n"/>
      <c r="Z27" s="16" t="n"/>
    </row>
    <row r="28" hidden="1" ht="12.75" customHeight="1" s="588">
      <c r="A28" s="294" t="n">
        <v>0.07000000000000001</v>
      </c>
      <c r="B28" s="294" t="n">
        <v>0.07000000000000001</v>
      </c>
      <c r="C28" s="295" t="n"/>
      <c r="D28" s="295" t="n"/>
      <c r="E28" s="295" t="n"/>
      <c r="F28" s="295" t="n"/>
      <c r="G28" s="294" t="n">
        <v>0.25</v>
      </c>
      <c r="H28" s="295" t="n"/>
      <c r="I28" s="295" t="n"/>
      <c r="J28" s="295" t="n"/>
      <c r="K28" s="295" t="n"/>
      <c r="L28" s="295" t="n"/>
      <c r="M28" s="295" t="n"/>
      <c r="N28" s="295" t="n"/>
      <c r="O28" s="295" t="n"/>
      <c r="P28" s="296" t="inlineStr">
        <is>
          <t>Impuesto sobre Sociedades</t>
        </is>
      </c>
      <c r="Q28" s="16" t="n"/>
      <c r="R28" s="16" t="n"/>
      <c r="S28" s="16" t="n"/>
      <c r="T28" s="16" t="n"/>
      <c r="U28" s="16" t="n"/>
      <c r="V28" s="16" t="n"/>
      <c r="W28" s="16" t="n"/>
      <c r="X28" s="16" t="n"/>
      <c r="Y28" s="16" t="n"/>
      <c r="Z28" s="16" t="n"/>
    </row>
    <row r="29" hidden="1" ht="12.75" customHeight="1" s="588">
      <c r="A29" s="294" t="n">
        <v>0.03</v>
      </c>
      <c r="B29" s="294" t="n">
        <v>0.03</v>
      </c>
      <c r="C29" s="295" t="n"/>
      <c r="D29" s="295" t="n"/>
      <c r="E29" s="295" t="n"/>
      <c r="F29" s="295" t="n"/>
      <c r="G29" s="294" t="n">
        <v>0.2</v>
      </c>
      <c r="H29" s="295" t="n"/>
      <c r="I29" s="295" t="n"/>
      <c r="J29" s="295" t="n"/>
      <c r="K29" s="295" t="n"/>
      <c r="L29" s="295" t="n"/>
      <c r="M29" s="295" t="n"/>
      <c r="N29" s="295" t="n"/>
      <c r="O29" s="295" t="n"/>
      <c r="P29" s="296" t="inlineStr">
        <is>
          <t>IRPF en Estimación Directa</t>
        </is>
      </c>
      <c r="Q29" s="16" t="n"/>
      <c r="R29" s="16" t="n"/>
      <c r="S29" s="16" t="n"/>
      <c r="T29" s="16" t="n"/>
      <c r="U29" s="16" t="n"/>
      <c r="V29" s="16" t="n"/>
      <c r="W29" s="16" t="n"/>
      <c r="X29" s="16" t="n"/>
      <c r="Y29" s="16" t="n"/>
      <c r="Z29" s="16" t="n"/>
    </row>
    <row r="30" hidden="1" ht="12.75" customHeight="1" s="588">
      <c r="A30" s="294" t="n">
        <v>0.0275</v>
      </c>
      <c r="B30" s="294" t="n">
        <v>0.15</v>
      </c>
      <c r="C30" s="297" t="n"/>
      <c r="D30" s="297" t="n"/>
      <c r="E30" s="297" t="n"/>
      <c r="F30" s="297" t="n"/>
      <c r="G30" s="294" t="inlineStr">
        <is>
          <t>MÓDULOS</t>
        </is>
      </c>
      <c r="H30" s="297" t="n"/>
      <c r="I30" s="298" t="n"/>
      <c r="J30" s="299" t="n"/>
      <c r="K30" s="300" t="n"/>
      <c r="L30" s="1" t="n"/>
      <c r="M30" s="1" t="n"/>
      <c r="N30" s="1" t="n"/>
      <c r="O30" s="1" t="n"/>
      <c r="P30" s="299" t="inlineStr">
        <is>
          <t>IRPF en Estimación Objetiva</t>
        </is>
      </c>
      <c r="Q30" s="16" t="n"/>
      <c r="R30" s="16" t="n"/>
      <c r="S30" s="16" t="n"/>
      <c r="T30" s="16" t="n"/>
      <c r="U30" s="16" t="n"/>
      <c r="V30" s="16" t="n"/>
      <c r="W30" s="16" t="n"/>
      <c r="X30" s="16" t="n"/>
      <c r="Y30" s="16" t="n"/>
      <c r="Z30" s="16" t="n"/>
    </row>
    <row r="31" hidden="1" ht="12.75" customHeight="1" s="588">
      <c r="A31" s="294" t="n">
        <v>0</v>
      </c>
      <c r="B31" s="294" t="n">
        <v>0</v>
      </c>
      <c r="C31" s="297" t="n"/>
      <c r="D31" s="297" t="n"/>
      <c r="E31" s="297" t="n"/>
      <c r="F31" s="297" t="n"/>
      <c r="G31" s="294" t="n">
        <v>0.15</v>
      </c>
      <c r="H31" s="297" t="n"/>
      <c r="I31" s="298" t="n"/>
      <c r="J31" s="299" t="n"/>
      <c r="K31" s="300" t="n"/>
      <c r="L31" s="1" t="n"/>
      <c r="M31" s="1" t="n"/>
      <c r="N31" s="1" t="n"/>
      <c r="O31" s="1" t="n"/>
      <c r="P31" s="299" t="inlineStr">
        <is>
          <t>Retención de IRPF en Facturas</t>
        </is>
      </c>
      <c r="Q31" s="16" t="n"/>
      <c r="R31" s="16" t="n"/>
      <c r="S31" s="16" t="n"/>
      <c r="T31" s="16" t="n"/>
      <c r="U31" s="16" t="n"/>
      <c r="V31" s="16" t="n"/>
      <c r="W31" s="16" t="n"/>
      <c r="X31" s="16" t="n"/>
      <c r="Y31" s="16" t="n"/>
      <c r="Z31" s="16" t="n"/>
    </row>
    <row r="32" hidden="1" ht="12.75" customHeight="1" s="588">
      <c r="A32" s="1" t="n"/>
      <c r="B32" s="301" t="inlineStr">
        <is>
          <t>R.E.</t>
        </is>
      </c>
      <c r="C32" s="1" t="n"/>
      <c r="D32" s="1" t="n"/>
      <c r="E32" s="1" t="n"/>
      <c r="F32" s="1" t="n"/>
      <c r="G32" s="1" t="n"/>
      <c r="H32" s="1" t="n"/>
      <c r="I32" s="1" t="n"/>
      <c r="J32" s="1" t="n"/>
      <c r="K32" s="1" t="n"/>
      <c r="L32" s="1" t="n"/>
      <c r="M32" s="1" t="n"/>
      <c r="N32" s="1" t="n"/>
      <c r="O32" s="1" t="n"/>
      <c r="P32" s="1" t="n"/>
      <c r="Q32" s="16" t="n"/>
      <c r="R32" s="16" t="n"/>
      <c r="S32" s="16" t="n"/>
      <c r="T32" s="16" t="n"/>
      <c r="U32" s="16" t="n"/>
      <c r="V32" s="16" t="n"/>
      <c r="W32" s="16" t="n"/>
      <c r="X32" s="16" t="n"/>
      <c r="Y32" s="16" t="n"/>
      <c r="Z32" s="16" t="n"/>
    </row>
    <row r="33" ht="12.75" customHeight="1" s="588">
      <c r="A33" s="1" t="n"/>
      <c r="B33" s="1" t="n"/>
      <c r="C33" s="1" t="n"/>
      <c r="D33" s="1" t="n"/>
      <c r="E33" s="1" t="n"/>
      <c r="F33" s="1" t="n"/>
      <c r="G33" s="1" t="n"/>
      <c r="H33" s="1" t="n"/>
      <c r="I33" s="1" t="n"/>
      <c r="J33" s="1" t="n"/>
      <c r="K33" s="1" t="n"/>
      <c r="L33" s="1" t="n"/>
      <c r="M33" s="1" t="n"/>
      <c r="N33" s="1" t="n"/>
      <c r="O33" s="1" t="n"/>
      <c r="P33" s="1" t="n"/>
      <c r="Q33" s="16" t="n"/>
      <c r="R33" s="16" t="n"/>
      <c r="S33" s="16" t="n"/>
      <c r="T33" s="16" t="n"/>
      <c r="U33" s="16" t="n"/>
      <c r="V33" s="16" t="n"/>
      <c r="W33" s="16" t="n"/>
      <c r="X33" s="16" t="n"/>
      <c r="Y33" s="16" t="n"/>
      <c r="Z33" s="16" t="n"/>
    </row>
    <row r="34" ht="12.75" customHeight="1" s="588">
      <c r="A34" s="1" t="n"/>
      <c r="B34" s="1" t="n"/>
      <c r="C34" s="1" t="n"/>
      <c r="D34" s="1" t="n"/>
      <c r="E34" s="1" t="n"/>
      <c r="F34" s="1" t="n"/>
      <c r="G34" s="1" t="n"/>
      <c r="H34" s="1" t="n"/>
      <c r="I34" s="1" t="n"/>
      <c r="J34" s="1" t="n"/>
      <c r="K34" s="1" t="n"/>
      <c r="L34" s="1" t="n"/>
      <c r="M34" s="1" t="n"/>
      <c r="N34" s="1" t="n"/>
      <c r="O34" s="1" t="n"/>
      <c r="P34" s="1" t="n"/>
      <c r="Q34" s="16" t="n"/>
      <c r="R34" s="16" t="n"/>
      <c r="S34" s="16" t="n"/>
      <c r="T34" s="16" t="n"/>
      <c r="U34" s="16" t="n"/>
      <c r="V34" s="16" t="n"/>
      <c r="W34" s="16" t="n"/>
      <c r="X34" s="16" t="n"/>
      <c r="Y34" s="16" t="n"/>
      <c r="Z34" s="16" t="n"/>
    </row>
    <row r="35" ht="12.75" customHeight="1" s="588">
      <c r="A35" s="1" t="n"/>
      <c r="B35" s="1" t="n"/>
      <c r="C35" s="1" t="n"/>
      <c r="D35" s="1" t="n"/>
      <c r="E35" s="1" t="n"/>
      <c r="F35" s="1" t="n"/>
      <c r="G35" s="1" t="n"/>
      <c r="H35" s="1" t="n"/>
      <c r="I35" s="1" t="n"/>
      <c r="J35" s="1" t="n"/>
      <c r="K35" s="1" t="n"/>
      <c r="L35" s="1" t="n"/>
      <c r="M35" s="1" t="n"/>
      <c r="N35" s="1" t="n"/>
      <c r="O35" s="1" t="n"/>
      <c r="P35" s="1" t="n"/>
      <c r="Q35" s="16" t="n"/>
      <c r="R35" s="16" t="n"/>
      <c r="S35" s="16" t="n"/>
      <c r="T35" s="16" t="n"/>
      <c r="U35" s="16" t="n"/>
      <c r="V35" s="16" t="n"/>
      <c r="W35" s="16" t="n"/>
      <c r="X35" s="16" t="n"/>
      <c r="Y35" s="16" t="n"/>
      <c r="Z35" s="16" t="n"/>
    </row>
    <row r="36" ht="12.75" customHeight="1" s="588">
      <c r="A36" s="1" t="n"/>
      <c r="B36" s="1" t="n"/>
      <c r="C36" s="1" t="n"/>
      <c r="D36" s="1" t="n"/>
      <c r="E36" s="1" t="n"/>
      <c r="F36" s="1" t="n"/>
      <c r="G36" s="1" t="n"/>
      <c r="H36" s="1" t="n"/>
      <c r="I36" s="1" t="n"/>
      <c r="J36" s="1" t="n"/>
      <c r="K36" s="1" t="n"/>
      <c r="L36" s="1" t="n"/>
      <c r="M36" s="1" t="n"/>
      <c r="N36" s="1" t="n"/>
      <c r="O36" s="1" t="n"/>
      <c r="P36" s="1" t="n"/>
      <c r="Q36" s="16" t="n"/>
      <c r="R36" s="16" t="n"/>
      <c r="S36" s="16" t="n"/>
      <c r="T36" s="16" t="n"/>
      <c r="U36" s="16" t="n"/>
      <c r="V36" s="16" t="n"/>
      <c r="W36" s="16" t="n"/>
      <c r="X36" s="16" t="n"/>
      <c r="Y36" s="16" t="n"/>
      <c r="Z36" s="16" t="n"/>
    </row>
    <row r="37" ht="12.75" customHeight="1" s="588">
      <c r="A37" s="1" t="n"/>
      <c r="B37" s="1" t="n"/>
      <c r="C37" s="1" t="n"/>
      <c r="D37" s="1" t="n"/>
      <c r="E37" s="1" t="n"/>
      <c r="F37" s="1" t="n"/>
      <c r="G37" s="1" t="n"/>
      <c r="H37" s="1" t="n"/>
      <c r="I37" s="1" t="n"/>
      <c r="J37" s="1" t="n"/>
      <c r="K37" s="1" t="n"/>
      <c r="L37" s="1" t="n"/>
      <c r="M37" s="1" t="n"/>
      <c r="N37" s="1" t="n"/>
      <c r="O37" s="1" t="n"/>
      <c r="P37" s="1" t="n"/>
      <c r="Q37" s="16" t="n"/>
      <c r="R37" s="16" t="n"/>
      <c r="S37" s="16" t="n"/>
      <c r="T37" s="16" t="n"/>
      <c r="U37" s="16" t="n"/>
      <c r="V37" s="16" t="n"/>
      <c r="W37" s="16" t="n"/>
      <c r="X37" s="16" t="n"/>
      <c r="Y37" s="16" t="n"/>
      <c r="Z37" s="16" t="n"/>
    </row>
    <row r="38" ht="12.75" customHeight="1" s="588">
      <c r="A38" s="1" t="n"/>
      <c r="B38" s="1" t="n"/>
      <c r="C38" s="1" t="n"/>
      <c r="D38" s="1" t="n"/>
      <c r="E38" s="1" t="n"/>
      <c r="F38" s="1" t="n"/>
      <c r="G38" s="1" t="n"/>
      <c r="H38" s="1" t="n"/>
      <c r="I38" s="1" t="n"/>
      <c r="J38" s="1" t="n"/>
      <c r="K38" s="1" t="n"/>
      <c r="L38" s="1" t="n"/>
      <c r="M38" s="1" t="n"/>
      <c r="N38" s="1" t="n"/>
      <c r="O38" s="1" t="n"/>
      <c r="P38" s="1" t="n"/>
      <c r="Q38" s="16" t="n"/>
      <c r="R38" s="16" t="n"/>
      <c r="S38" s="16" t="n"/>
      <c r="T38" s="16" t="n"/>
      <c r="U38" s="16" t="n"/>
      <c r="V38" s="16" t="n"/>
      <c r="W38" s="16" t="n"/>
      <c r="X38" s="16" t="n"/>
      <c r="Y38" s="16" t="n"/>
      <c r="Z38" s="16" t="n"/>
    </row>
    <row r="39" ht="12.75" customHeight="1" s="588">
      <c r="A39" s="8" t="inlineStr">
        <is>
          <t>¿CUÁNTO Y CUÁNDO?</t>
        </is>
      </c>
      <c r="B39" s="1" t="n"/>
      <c r="C39" s="1" t="n"/>
      <c r="D39" s="1" t="n"/>
      <c r="E39" s="1" t="n"/>
      <c r="F39" s="1" t="n"/>
      <c r="G39" s="1" t="n"/>
      <c r="H39" s="1" t="n"/>
      <c r="I39" s="1" t="n"/>
      <c r="J39" s="185" t="n"/>
      <c r="K39" s="185" t="n"/>
      <c r="L39" s="1" t="n"/>
      <c r="M39" s="1" t="n"/>
      <c r="N39" s="1" t="n"/>
      <c r="O39" s="1" t="n"/>
      <c r="P39" s="185" t="inlineStr">
        <is>
          <t>Plan Financiero</t>
        </is>
      </c>
      <c r="Q39" s="16" t="n"/>
      <c r="R39" s="16" t="n"/>
      <c r="S39" s="16" t="n"/>
      <c r="T39" s="16" t="n"/>
      <c r="U39" s="16" t="n"/>
      <c r="V39" s="16" t="n"/>
      <c r="W39" s="16" t="n"/>
      <c r="X39" s="16" t="n"/>
      <c r="Y39" s="16" t="n"/>
      <c r="Z39" s="16" t="n"/>
    </row>
    <row r="40" ht="14.25" customHeight="1" s="588">
      <c r="A40" s="1" t="n"/>
      <c r="B40" s="1" t="n"/>
      <c r="C40" s="1" t="n"/>
      <c r="D40" s="1" t="n"/>
      <c r="E40" s="1" t="n"/>
      <c r="F40" s="1" t="n"/>
      <c r="G40" s="1" t="n"/>
      <c r="H40" s="1" t="n"/>
      <c r="I40" s="1" t="n"/>
      <c r="J40" s="1" t="n"/>
      <c r="K40" s="1" t="n"/>
      <c r="L40" s="1" t="n"/>
      <c r="M40" s="1" t="n"/>
      <c r="N40" s="1" t="n"/>
      <c r="O40" s="1" t="n"/>
      <c r="P40" s="1" t="n"/>
      <c r="Q40" s="16" t="n"/>
      <c r="R40" s="16" t="n"/>
      <c r="S40" s="16" t="n"/>
      <c r="T40" s="16" t="n"/>
      <c r="U40" s="16" t="n"/>
      <c r="V40" s="16" t="n"/>
      <c r="W40" s="16" t="n"/>
      <c r="X40" s="16" t="n"/>
      <c r="Y40" s="16" t="n"/>
      <c r="Z40" s="16" t="n"/>
    </row>
    <row r="41" ht="12.75" customHeight="1" s="588">
      <c r="A41" s="737" t="inlineStr">
        <is>
          <t>INVERSIÓN INICIAL</t>
        </is>
      </c>
      <c r="B41" s="649" t="n"/>
      <c r="C41" s="649" t="n"/>
      <c r="D41" s="649" t="n"/>
      <c r="E41" s="649" t="n"/>
      <c r="F41" s="649" t="n"/>
      <c r="G41" s="647" t="n"/>
      <c r="H41" s="1" t="n"/>
      <c r="I41" s="1" t="n"/>
      <c r="J41" s="737" t="inlineStr">
        <is>
          <t>FUENTES DE FINANCIACIÓN INICIALES</t>
        </is>
      </c>
      <c r="K41" s="649" t="n"/>
      <c r="L41" s="649" t="n"/>
      <c r="M41" s="649" t="n"/>
      <c r="N41" s="649" t="n"/>
      <c r="O41" s="649" t="n"/>
      <c r="P41" s="647" t="n"/>
      <c r="Q41" s="16" t="n"/>
      <c r="R41" s="16" t="n"/>
      <c r="S41" s="16" t="n"/>
      <c r="T41" s="16" t="n"/>
      <c r="U41" s="16" t="n"/>
      <c r="V41" s="16" t="n"/>
      <c r="W41" s="16" t="n"/>
      <c r="X41" s="16" t="n"/>
      <c r="Y41" s="16" t="n"/>
      <c r="Z41" s="16" t="n"/>
    </row>
    <row r="42" ht="12.75" customHeight="1" s="588">
      <c r="A42" s="1" t="n"/>
      <c r="B42" s="1" t="n"/>
      <c r="C42" s="1" t="n"/>
      <c r="D42" s="303" t="inlineStr">
        <is>
          <t>TODOS LOS DATOS SON</t>
        </is>
      </c>
      <c r="E42" s="304">
        <f>IF($G$13=0%,"CON IVA","SIN IVA")</f>
        <v/>
      </c>
      <c r="F42" s="1" t="n"/>
      <c r="G42" s="1" t="n"/>
      <c r="H42" s="1" t="n"/>
      <c r="I42" s="1" t="n"/>
      <c r="J42" s="75" t="n"/>
      <c r="K42" s="75" t="n"/>
      <c r="L42" s="75" t="n"/>
      <c r="M42" s="75" t="n"/>
      <c r="N42" s="306" t="inlineStr">
        <is>
          <t>Importe</t>
        </is>
      </c>
      <c r="O42" s="619" t="n"/>
      <c r="P42" s="306" t="inlineStr">
        <is>
          <t>%</t>
        </is>
      </c>
      <c r="Q42" s="16" t="n"/>
      <c r="R42" s="16" t="n"/>
      <c r="S42" s="16" t="n"/>
      <c r="T42" s="16" t="n"/>
      <c r="U42" s="16" t="n"/>
      <c r="V42" s="16" t="n"/>
      <c r="W42" s="16" t="n"/>
      <c r="X42" s="16" t="n"/>
      <c r="Y42" s="16" t="n"/>
      <c r="Z42" s="16" t="n"/>
    </row>
    <row r="43" ht="12.75" customHeight="1" s="588">
      <c r="A43" s="1" t="n"/>
      <c r="B43" s="1" t="n"/>
      <c r="C43" s="1" t="n"/>
      <c r="D43" s="309" t="inlineStr">
        <is>
          <t>Importe</t>
        </is>
      </c>
      <c r="E43" s="591" t="n"/>
      <c r="F43" s="308" t="inlineStr">
        <is>
          <t>%</t>
        </is>
      </c>
      <c r="G43" s="309" t="inlineStr">
        <is>
          <t>% Amort.</t>
        </is>
      </c>
      <c r="H43" s="83" t="n"/>
      <c r="I43" s="1" t="n"/>
      <c r="J43" s="72" t="inlineStr">
        <is>
          <t>Aportaciones Dinerarias</t>
        </is>
      </c>
      <c r="N43" s="738" t="n">
        <v>10000</v>
      </c>
      <c r="P43" s="312">
        <f>IF($N$50=0,"",N43/$N$50)</f>
        <v/>
      </c>
      <c r="Q43" s="16" t="n"/>
      <c r="R43" s="16" t="n"/>
      <c r="S43" s="16" t="n"/>
      <c r="T43" s="16" t="n"/>
      <c r="U43" s="16" t="n"/>
      <c r="V43" s="16" t="n"/>
      <c r="W43" s="16" t="n"/>
      <c r="X43" s="16" t="n"/>
      <c r="Y43" s="16" t="n"/>
      <c r="Z43" s="16" t="n"/>
    </row>
    <row r="44" ht="12.75" customHeight="1" s="588">
      <c r="A44" s="72" t="inlineStr">
        <is>
          <t>Terrenos</t>
        </is>
      </c>
      <c r="D44" s="739" t="n"/>
      <c r="E44" s="593" t="n"/>
      <c r="F44" s="312">
        <f>IF($D$69&lt;&gt;0,D44/$D$69,"")</f>
        <v/>
      </c>
      <c r="G44" s="312" t="n">
        <v>0</v>
      </c>
      <c r="H44" s="1" t="n"/>
      <c r="I44" s="1" t="n"/>
      <c r="J44" s="72" t="inlineStr">
        <is>
          <t>Aportaciones no Dinerarias</t>
        </is>
      </c>
      <c r="N44" s="738" t="n"/>
      <c r="P44" s="312">
        <f>IF($N$50=0,"",N44/$N$50)</f>
        <v/>
      </c>
      <c r="Q44" s="16" t="n"/>
      <c r="R44" s="16" t="n"/>
      <c r="S44" s="16" t="n"/>
      <c r="T44" s="16" t="n"/>
      <c r="U44" s="16" t="n"/>
      <c r="V44" s="16" t="n"/>
      <c r="W44" s="16" t="n"/>
      <c r="X44" s="16" t="n"/>
      <c r="Y44" s="16" t="n"/>
      <c r="Z44" s="16" t="n"/>
    </row>
    <row r="45" ht="12.75" customHeight="1" s="588">
      <c r="A45" s="72" t="inlineStr">
        <is>
          <t>Edificios y Construcciones</t>
        </is>
      </c>
      <c r="D45" s="740" t="n"/>
      <c r="F45" s="312">
        <f>IF($D$69&lt;&gt;0,D45/$D$69,"")</f>
        <v/>
      </c>
      <c r="G45" s="312" t="n">
        <v>0.02</v>
      </c>
      <c r="H45" s="1" t="n"/>
      <c r="I45" s="1" t="n"/>
      <c r="J45" s="72" t="inlineStr">
        <is>
          <t>Subvenciones</t>
        </is>
      </c>
      <c r="N45" s="738" t="n"/>
      <c r="P45" s="312">
        <f>IF($N$50=0,"",N45/$N$50)</f>
        <v/>
      </c>
      <c r="Q45" s="16" t="n"/>
      <c r="R45" s="16" t="n"/>
      <c r="S45" s="16" t="n"/>
      <c r="T45" s="16" t="n"/>
      <c r="U45" s="16" t="n"/>
      <c r="V45" s="16" t="n"/>
      <c r="W45" s="16" t="n"/>
      <c r="X45" s="16" t="n"/>
      <c r="Y45" s="16" t="n"/>
      <c r="Z45" s="16" t="n"/>
    </row>
    <row r="46" ht="12.75" customHeight="1" s="588">
      <c r="A46" s="72" t="inlineStr">
        <is>
          <t>Instalaciones</t>
        </is>
      </c>
      <c r="D46" s="740" t="n"/>
      <c r="F46" s="312">
        <f>IF($D$69&lt;&gt;0,D46/$D$69,"")</f>
        <v/>
      </c>
      <c r="G46" s="312" t="n">
        <v>0.1</v>
      </c>
      <c r="H46" s="1" t="n"/>
      <c r="I46" s="1" t="n"/>
      <c r="J46" s="741" t="inlineStr">
        <is>
          <t>RECURSOS PROPIOS</t>
        </is>
      </c>
      <c r="K46" s="590" t="n"/>
      <c r="L46" s="590" t="n"/>
      <c r="M46" s="591" t="n"/>
      <c r="N46" s="742">
        <f>N43+N44+N45</f>
        <v/>
      </c>
      <c r="O46" s="591" t="n"/>
      <c r="P46" s="317">
        <f>IF($N$50=0,"",N46/$N$50)</f>
        <v/>
      </c>
      <c r="Q46" s="16" t="n"/>
      <c r="R46" s="16" t="n"/>
      <c r="S46" s="16" t="n"/>
      <c r="T46" s="16" t="n"/>
      <c r="U46" s="16" t="n"/>
      <c r="V46" s="16" t="n"/>
      <c r="W46" s="16" t="n"/>
      <c r="X46" s="16" t="n"/>
      <c r="Y46" s="16" t="n"/>
      <c r="Z46" s="16" t="n"/>
    </row>
    <row r="47" ht="12.75" customHeight="1" s="588">
      <c r="A47" s="72" t="inlineStr">
        <is>
          <t>Maquinaria</t>
        </is>
      </c>
      <c r="D47" s="740" t="n"/>
      <c r="F47" s="312">
        <f>IF($D$69&lt;&gt;0,D47/$D$69,"")</f>
        <v/>
      </c>
      <c r="G47" s="312" t="n">
        <v>0.12</v>
      </c>
      <c r="H47" s="1" t="n"/>
      <c r="I47" s="1" t="n"/>
      <c r="J47" s="72" t="inlineStr">
        <is>
          <t>Préstamos a  Largo Plazo</t>
        </is>
      </c>
      <c r="N47" s="738" t="n"/>
      <c r="P47" s="312">
        <f>IF($N$50=0,"",N47/$N$50)</f>
        <v/>
      </c>
      <c r="Q47" s="16" t="n"/>
      <c r="R47" s="16" t="n"/>
      <c r="S47" s="16" t="n"/>
      <c r="T47" s="16" t="n"/>
      <c r="U47" s="16" t="n"/>
      <c r="V47" s="16" t="n"/>
      <c r="W47" s="16" t="n"/>
      <c r="X47" s="16" t="n"/>
      <c r="Y47" s="16" t="n"/>
      <c r="Z47" s="16" t="n"/>
    </row>
    <row r="48" ht="12.75" customHeight="1" s="588">
      <c r="A48" s="72" t="inlineStr">
        <is>
          <t>Herramientas</t>
        </is>
      </c>
      <c r="D48" s="740" t="n"/>
      <c r="F48" s="312">
        <f>IF($D$69&lt;&gt;0,D48/$D$69,"")</f>
        <v/>
      </c>
      <c r="G48" s="312" t="n">
        <v>0.3</v>
      </c>
      <c r="H48" s="1" t="n"/>
      <c r="I48" s="1" t="n"/>
      <c r="J48" s="72" t="inlineStr">
        <is>
          <t>Otros Acreed. o Proveed. a Largo Plazo</t>
        </is>
      </c>
      <c r="N48" s="738" t="n"/>
      <c r="P48" s="312">
        <f>IF($N$50=0,"",N48/$N$50)</f>
        <v/>
      </c>
      <c r="Q48" s="16" t="n"/>
      <c r="R48" s="16" t="n"/>
      <c r="S48" s="16" t="n"/>
      <c r="T48" s="16" t="n"/>
      <c r="U48" s="16" t="n"/>
      <c r="V48" s="16" t="n"/>
      <c r="W48" s="16" t="n"/>
      <c r="X48" s="16" t="n"/>
      <c r="Y48" s="16" t="n"/>
      <c r="Z48" s="16" t="n"/>
    </row>
    <row r="49" ht="12.75" customHeight="1" s="588">
      <c r="A49" s="72" t="inlineStr">
        <is>
          <t>Mobiliario</t>
        </is>
      </c>
      <c r="D49" s="740" t="n">
        <v>400</v>
      </c>
      <c r="F49" s="312">
        <f>IF($D$69&lt;&gt;0,D49/$D$69,"")</f>
        <v/>
      </c>
      <c r="G49" s="312" t="n">
        <v>0.1</v>
      </c>
      <c r="H49" s="1" t="n"/>
      <c r="I49" s="1" t="n"/>
      <c r="J49" s="741" t="inlineStr">
        <is>
          <t>RECURSOS AJENOS</t>
        </is>
      </c>
      <c r="K49" s="590" t="n"/>
      <c r="L49" s="590" t="n"/>
      <c r="M49" s="591" t="n"/>
      <c r="N49" s="742">
        <f>N47+N48</f>
        <v/>
      </c>
      <c r="O49" s="591" t="n"/>
      <c r="P49" s="317">
        <f>IF($N$50=0,"",N49/$N$50)</f>
        <v/>
      </c>
      <c r="Q49" s="16" t="n"/>
      <c r="R49" s="16" t="n"/>
      <c r="S49" s="16" t="n"/>
      <c r="T49" s="16" t="n"/>
      <c r="U49" s="16" t="n"/>
      <c r="V49" s="16" t="n"/>
      <c r="W49" s="16" t="n"/>
      <c r="X49" s="16" t="n"/>
      <c r="Y49" s="16" t="n"/>
      <c r="Z49" s="16" t="n"/>
    </row>
    <row r="50" ht="12.75" customHeight="1" s="588">
      <c r="A50" s="72" t="inlineStr">
        <is>
          <t>Elementos de Transporte</t>
        </is>
      </c>
      <c r="D50" s="740" t="n"/>
      <c r="F50" s="312">
        <f>IF($D$69&lt;&gt;0,D50/$D$69,"")</f>
        <v/>
      </c>
      <c r="G50" s="312" t="n">
        <v>0.16</v>
      </c>
      <c r="H50" s="1" t="n"/>
      <c r="I50" s="1" t="n"/>
      <c r="J50" s="743" t="inlineStr">
        <is>
          <t>TOTAL FUENTES DE FINANCIACIÓN</t>
        </is>
      </c>
      <c r="K50" s="590" t="n"/>
      <c r="L50" s="590" t="n"/>
      <c r="M50" s="591" t="n"/>
      <c r="N50" s="742">
        <f>N46+N49</f>
        <v/>
      </c>
      <c r="O50" s="591" t="n"/>
      <c r="P50" s="312">
        <f>IF($N$55=0,"",N50/$N$51)</f>
        <v/>
      </c>
      <c r="Q50" s="16" t="n"/>
      <c r="R50" s="16" t="n"/>
      <c r="S50" s="16" t="n"/>
      <c r="T50" s="16" t="n"/>
      <c r="U50" s="16" t="n"/>
      <c r="V50" s="16" t="n"/>
      <c r="W50" s="16" t="n"/>
      <c r="X50" s="16" t="n"/>
      <c r="Y50" s="16" t="n"/>
      <c r="Z50" s="16" t="n"/>
    </row>
    <row r="51" ht="12.75" customHeight="1" s="588">
      <c r="A51" s="72" t="inlineStr">
        <is>
          <t>Equipos Informáticos</t>
        </is>
      </c>
      <c r="D51" s="532">
        <f>IF(G13=0%,'CÓMO'!F254*1.21,'CÓMO'!F254)</f>
        <v/>
      </c>
      <c r="F51" s="312">
        <f>IF($D$69&lt;&gt;0,D51/$D$69,"")</f>
        <v/>
      </c>
      <c r="G51" s="312" t="n">
        <v>0.25</v>
      </c>
      <c r="H51" s="1" t="n"/>
      <c r="I51" s="1" t="n"/>
      <c r="J51" s="744" t="n"/>
      <c r="N51" s="353" t="n"/>
      <c r="P51" s="312" t="n"/>
      <c r="Q51" s="16" t="n"/>
      <c r="R51" s="16" t="n"/>
      <c r="S51" s="16" t="n"/>
      <c r="T51" s="16" t="n"/>
      <c r="U51" s="16" t="n"/>
      <c r="V51" s="16" t="n"/>
      <c r="W51" s="16" t="n"/>
      <c r="X51" s="16" t="n"/>
      <c r="Y51" s="16" t="n"/>
      <c r="Z51" s="16" t="n"/>
    </row>
    <row r="52" ht="12.75" customHeight="1" s="588">
      <c r="A52" s="72" t="inlineStr">
        <is>
          <t>Otro Inmovilizado Material</t>
        </is>
      </c>
      <c r="D52" s="740" t="n">
        <v>400</v>
      </c>
      <c r="F52" s="312">
        <f>IF($D$69&lt;&gt;0,D52/$D$69,"")</f>
        <v/>
      </c>
      <c r="G52" s="312" t="n">
        <v>0.1</v>
      </c>
      <c r="H52" s="1" t="n"/>
      <c r="I52" s="745" t="inlineStr">
        <is>
          <t>AÑO 2</t>
        </is>
      </c>
      <c r="J52" s="590" t="n"/>
      <c r="K52" s="590" t="n"/>
      <c r="L52" s="590" t="n"/>
      <c r="M52" s="591" t="n"/>
      <c r="N52" s="746" t="inlineStr">
        <is>
          <t>AÑO 3</t>
        </is>
      </c>
      <c r="O52" s="591" t="n"/>
      <c r="P52" s="312" t="n"/>
      <c r="Q52" s="16" t="n"/>
      <c r="R52" s="16" t="n"/>
      <c r="S52" s="16" t="n"/>
      <c r="T52" s="16" t="n"/>
      <c r="U52" s="16" t="n"/>
      <c r="V52" s="16" t="n"/>
      <c r="W52" s="16" t="n"/>
      <c r="X52" s="16" t="n"/>
      <c r="Y52" s="16" t="n"/>
      <c r="Z52" s="16" t="n"/>
    </row>
    <row r="53" ht="12.75" customHeight="1" s="588">
      <c r="A53" s="741" t="inlineStr">
        <is>
          <t>Activos No Corrientes Mater.</t>
        </is>
      </c>
      <c r="B53" s="590" t="n"/>
      <c r="C53" s="591" t="n"/>
      <c r="D53" s="747">
        <f>SUM(D44:D52)</f>
        <v/>
      </c>
      <c r="E53" s="591" t="n"/>
      <c r="F53" s="317">
        <f>IF($D$69&lt;&gt;0,D53/$D$69,"")</f>
        <v/>
      </c>
      <c r="G53" s="312" t="n"/>
      <c r="H53" s="1" t="n"/>
      <c r="I53" s="748" t="inlineStr">
        <is>
          <t>Inversiones</t>
        </is>
      </c>
      <c r="K53" s="596" t="n"/>
      <c r="L53" s="749" t="n"/>
      <c r="M53" s="594" t="n"/>
      <c r="N53" s="444" t="n"/>
      <c r="O53" s="594" t="n"/>
      <c r="P53" s="312" t="n"/>
      <c r="Q53" s="16" t="n"/>
      <c r="R53" s="16" t="n"/>
      <c r="S53" s="16" t="n"/>
      <c r="T53" s="16" t="n"/>
      <c r="U53" s="16" t="n"/>
      <c r="V53" s="16" t="n"/>
      <c r="W53" s="16" t="n"/>
      <c r="X53" s="16" t="n"/>
      <c r="Y53" s="16" t="n"/>
      <c r="Z53" s="16" t="n"/>
    </row>
    <row r="54" ht="12.75" customHeight="1" s="588">
      <c r="A54" s="750" t="inlineStr">
        <is>
          <t>Aplicaciones Informáticas</t>
        </is>
      </c>
      <c r="B54" s="593" t="n"/>
      <c r="C54" s="593" t="n"/>
      <c r="D54" s="751">
        <f>IF(G13=0%,('CÓMO'!F259+'CÓMO'!F264)*1.21,'CÓMO'!F259+'CÓMO'!F264)</f>
        <v/>
      </c>
      <c r="E54" s="593" t="n"/>
      <c r="F54" s="312">
        <f>IF($D$69&lt;&gt;0,D54/$D$69,"")</f>
        <v/>
      </c>
      <c r="G54" s="312" t="n">
        <v>0.25</v>
      </c>
      <c r="H54" s="1" t="n"/>
      <c r="I54" s="748" t="inlineStr">
        <is>
          <t>% Amortización</t>
        </is>
      </c>
      <c r="K54" s="596" t="n"/>
      <c r="L54" s="383" t="n"/>
      <c r="M54" s="596" t="n"/>
      <c r="N54" s="468" t="n"/>
      <c r="O54" s="596" t="n"/>
      <c r="P54" s="83" t="n"/>
      <c r="Q54" s="16" t="n"/>
      <c r="R54" s="16" t="n"/>
      <c r="S54" s="16" t="n"/>
      <c r="T54" s="16" t="n"/>
      <c r="U54" s="16" t="n"/>
      <c r="V54" s="16" t="n"/>
      <c r="W54" s="16" t="n"/>
      <c r="X54" s="16" t="n"/>
      <c r="Y54" s="16" t="n"/>
      <c r="Z54" s="16" t="n"/>
    </row>
    <row r="55" ht="12.75" customHeight="1" s="588">
      <c r="A55" s="72" t="inlineStr">
        <is>
          <t>Patentes</t>
        </is>
      </c>
      <c r="D55" s="740" t="n"/>
      <c r="F55" s="312">
        <f>IF($D$69&lt;&gt;0,D55/$D$69,"")</f>
        <v/>
      </c>
      <c r="G55" s="312" t="n">
        <v>0.25</v>
      </c>
      <c r="H55" s="334" t="n"/>
      <c r="I55" s="748" t="inlineStr">
        <is>
          <t>Financiación Propia</t>
        </is>
      </c>
      <c r="K55" s="596" t="n"/>
      <c r="L55" s="752">
        <f>IF(L53&lt;L56,0,L53-L56-L57)</f>
        <v/>
      </c>
      <c r="M55" s="596" t="n"/>
      <c r="N55" s="468" t="n"/>
      <c r="O55" s="596" t="n"/>
      <c r="P55" s="83" t="n"/>
      <c r="Q55" s="16" t="n"/>
      <c r="R55" s="16" t="n"/>
      <c r="S55" s="16" t="n"/>
      <c r="T55" s="16" t="n"/>
      <c r="U55" s="16" t="n"/>
      <c r="V55" s="16" t="n"/>
      <c r="W55" s="16" t="n"/>
      <c r="X55" s="16" t="n"/>
      <c r="Y55" s="16" t="n"/>
      <c r="Z55" s="16" t="n"/>
    </row>
    <row r="56" ht="12.75" customHeight="1" s="588">
      <c r="A56" s="72" t="inlineStr">
        <is>
          <t>Otro Inmovilizado Inmaterial</t>
        </is>
      </c>
      <c r="D56" s="740" t="n"/>
      <c r="F56" s="312">
        <f>IF($D$69&lt;&gt;0,D56/$D$69,"")</f>
        <v/>
      </c>
      <c r="G56" s="312" t="n">
        <v>0.25</v>
      </c>
      <c r="H56" s="72" t="n"/>
      <c r="I56" s="748" t="inlineStr">
        <is>
          <t>Subvenciones</t>
        </is>
      </c>
      <c r="K56" s="596" t="n"/>
      <c r="L56" s="753" t="n"/>
      <c r="M56" s="596" t="n"/>
      <c r="N56" s="468" t="n"/>
      <c r="O56" s="596" t="n"/>
      <c r="P56" s="335">
        <f>IF(L57&lt;0,"ERROR","")</f>
        <v/>
      </c>
      <c r="Q56" s="16" t="n"/>
      <c r="R56" s="16" t="n"/>
      <c r="S56" s="16" t="n"/>
      <c r="T56" s="16" t="n"/>
      <c r="U56" s="16" t="n"/>
      <c r="V56" s="16" t="n"/>
      <c r="W56" s="16" t="n"/>
      <c r="X56" s="16" t="n"/>
      <c r="Y56" s="16" t="n"/>
      <c r="Z56" s="16" t="n"/>
    </row>
    <row r="57" ht="12.75" customHeight="1" s="588">
      <c r="A57" s="741" t="inlineStr">
        <is>
          <t>Activos No Corrientes Inmater.</t>
        </is>
      </c>
      <c r="B57" s="590" t="n"/>
      <c r="C57" s="591" t="n"/>
      <c r="D57" s="747">
        <f>SUM(D54:D56)</f>
        <v/>
      </c>
      <c r="E57" s="591" t="n"/>
      <c r="F57" s="317">
        <f>IF($D$69&lt;&gt;0,D57/$D$69,"")</f>
        <v/>
      </c>
      <c r="G57" s="312" t="n"/>
      <c r="H57" s="72" t="n"/>
      <c r="I57" s="748" t="inlineStr">
        <is>
          <t>Financiación Ajena</t>
        </is>
      </c>
      <c r="K57" s="596" t="n"/>
      <c r="L57" s="753" t="n"/>
      <c r="M57" s="596" t="n"/>
      <c r="N57" s="468" t="n"/>
      <c r="O57" s="596" t="n"/>
      <c r="P57" s="1" t="n"/>
      <c r="Q57" s="16" t="n"/>
      <c r="R57" s="16" t="n"/>
      <c r="S57" s="16" t="n"/>
      <c r="T57" s="16" t="n"/>
      <c r="U57" s="16" t="n"/>
      <c r="V57" s="16" t="n"/>
      <c r="W57" s="16" t="n"/>
      <c r="X57" s="16" t="n"/>
      <c r="Y57" s="16" t="n"/>
      <c r="Z57" s="16" t="n"/>
    </row>
    <row r="58" ht="12.75" customHeight="1" s="588">
      <c r="A58" s="72" t="inlineStr">
        <is>
          <t>Fianza Local</t>
        </is>
      </c>
      <c r="D58" s="740" t="n"/>
      <c r="F58" s="312">
        <f>IF($D$69&lt;&gt;0,D58/$D$69,"")</f>
        <v/>
      </c>
      <c r="G58" s="312" t="n">
        <v>0</v>
      </c>
      <c r="H58" s="72" t="n"/>
      <c r="I58" s="748" t="inlineStr">
        <is>
          <t>Tipo de Financiación</t>
        </is>
      </c>
      <c r="K58" s="596" t="n"/>
      <c r="L58" s="754" t="n"/>
      <c r="M58" s="596" t="n"/>
      <c r="N58" s="468" t="n"/>
      <c r="O58" s="596" t="n"/>
      <c r="P58" s="1" t="n"/>
      <c r="Q58" s="16" t="n"/>
      <c r="R58" s="16" t="n"/>
      <c r="S58" s="16" t="n"/>
      <c r="T58" s="16" t="n"/>
      <c r="U58" s="16" t="n"/>
      <c r="V58" s="16" t="n"/>
      <c r="W58" s="16" t="n"/>
      <c r="X58" s="16" t="n"/>
      <c r="Y58" s="16" t="n"/>
      <c r="Z58" s="16" t="n"/>
    </row>
    <row r="59" ht="12.75" customHeight="1" s="588">
      <c r="A59" s="741" t="inlineStr">
        <is>
          <t>Activos No Corr. Financieros</t>
        </is>
      </c>
      <c r="B59" s="590" t="n"/>
      <c r="C59" s="591" t="n"/>
      <c r="D59" s="742">
        <f>D58</f>
        <v/>
      </c>
      <c r="E59" s="591" t="n"/>
      <c r="F59" s="317">
        <f>IF($D$69&lt;&gt;0,D59/$D$69,"")</f>
        <v/>
      </c>
      <c r="G59" s="75" t="n"/>
      <c r="H59" s="72" t="n"/>
      <c r="I59" s="748" t="inlineStr">
        <is>
          <t>Plazo (meses)</t>
        </is>
      </c>
      <c r="K59" s="596" t="n"/>
      <c r="L59" s="755" t="n"/>
      <c r="M59" s="596" t="n"/>
      <c r="N59" s="756" t="n"/>
      <c r="O59" s="599" t="n"/>
      <c r="P59" s="1" t="n"/>
      <c r="Q59" s="16" t="n"/>
      <c r="R59" s="16" t="n"/>
      <c r="S59" s="16" t="n"/>
      <c r="T59" s="16" t="n"/>
      <c r="U59" s="16" t="n"/>
      <c r="V59" s="16" t="n"/>
      <c r="W59" s="16" t="n"/>
      <c r="X59" s="16" t="n"/>
      <c r="Y59" s="16" t="n"/>
      <c r="Z59" s="16" t="n"/>
    </row>
    <row r="60" ht="12.75" customHeight="1" s="588">
      <c r="A60" s="757" t="inlineStr">
        <is>
          <t>TOTAL ACTIVOS NO CORRIENTES</t>
        </is>
      </c>
      <c r="B60" s="590" t="n"/>
      <c r="C60" s="591" t="n"/>
      <c r="D60" s="742">
        <f>D53+D57+D59</f>
        <v/>
      </c>
      <c r="E60" s="591" t="n"/>
      <c r="F60" s="317">
        <f>IF($D$69&lt;&gt;0,D60/$D$69,"")</f>
        <v/>
      </c>
      <c r="G60" s="340">
        <f>IF(D60&lt;&gt;0,(D44*G44+D45*G45+D46*G46+D47*G47+D48*G48+D49*G49+D50*G50+D51*G51+D52*G52+D54*G54+D55*G55+D56*G56+D58*G58)/D60,0)</f>
        <v/>
      </c>
      <c r="H60" s="72" t="n"/>
      <c r="I60" s="748" t="inlineStr">
        <is>
          <t>Cuota</t>
        </is>
      </c>
      <c r="K60" s="596" t="n"/>
      <c r="L60" s="758">
        <f>IF(L59=0,0,PMT($L$58/12,$L$59,-$L$57,0))</f>
        <v/>
      </c>
      <c r="M60" s="596" t="n"/>
      <c r="N60" s="758">
        <f>L60</f>
        <v/>
      </c>
      <c r="O60" s="596" t="n"/>
      <c r="P60" s="1" t="n"/>
      <c r="Q60" s="16" t="n"/>
      <c r="R60" s="16" t="n"/>
      <c r="S60" s="16" t="n"/>
      <c r="T60" s="16" t="n"/>
      <c r="U60" s="16" t="n"/>
      <c r="V60" s="16" t="n"/>
      <c r="W60" s="16" t="n"/>
      <c r="X60" s="16" t="n"/>
      <c r="Y60" s="16" t="n"/>
      <c r="Z60" s="16" t="n"/>
    </row>
    <row r="61" ht="12.75" customHeight="1" s="588">
      <c r="A61" s="72" t="inlineStr">
        <is>
          <t>Gastos de Constitución</t>
        </is>
      </c>
      <c r="D61" s="740" t="n">
        <v>600</v>
      </c>
      <c r="F61" s="312">
        <f>IF($D$69&lt;&gt;0,D61/$D$69,"")</f>
        <v/>
      </c>
      <c r="G61" s="75" t="n"/>
      <c r="H61" s="72" t="n"/>
      <c r="I61" s="748" t="inlineStr">
        <is>
          <t>Gastos Financieros</t>
        </is>
      </c>
      <c r="K61" s="596" t="n"/>
      <c r="L61" s="758">
        <f>L60*12-(L57-L62)</f>
        <v/>
      </c>
      <c r="M61" s="596" t="n"/>
      <c r="N61" s="758">
        <f>N60*12-(L62-N62)</f>
        <v/>
      </c>
      <c r="O61" s="596" t="n"/>
      <c r="P61" s="1" t="n"/>
      <c r="Q61" s="16" t="n"/>
      <c r="R61" s="16" t="n"/>
      <c r="S61" s="16" t="n"/>
      <c r="T61" s="16" t="n"/>
      <c r="U61" s="16" t="n"/>
      <c r="V61" s="16" t="n"/>
      <c r="W61" s="16" t="n"/>
      <c r="X61" s="16" t="n"/>
      <c r="Y61" s="16" t="n"/>
      <c r="Z61" s="16" t="n"/>
    </row>
    <row r="62" ht="12.75" customHeight="1" s="588">
      <c r="A62" s="72" t="inlineStr">
        <is>
          <t>Licencias, Comisiones, etc.</t>
        </is>
      </c>
      <c r="D62" s="740" t="n"/>
      <c r="F62" s="312">
        <f>IF($D$69&lt;&gt;0,D62/$D$69,"")</f>
        <v/>
      </c>
      <c r="G62" s="75" t="n"/>
      <c r="H62" s="72" t="n"/>
      <c r="I62" s="748" t="inlineStr">
        <is>
          <t>Capital Pendiente Fin Año</t>
        </is>
      </c>
      <c r="K62" s="596" t="n"/>
      <c r="L62" s="758">
        <f>-FV(L58/12,12,-L60,L57)</f>
        <v/>
      </c>
      <c r="M62" s="596" t="n"/>
      <c r="N62" s="758">
        <f>-FV(L58/12,12,-N60,L62)</f>
        <v/>
      </c>
      <c r="O62" s="596" t="n"/>
      <c r="P62" s="1" t="n"/>
      <c r="Q62" s="16" t="n"/>
      <c r="R62" s="16" t="n"/>
      <c r="S62" s="16" t="n"/>
      <c r="T62" s="16" t="n"/>
      <c r="U62" s="16" t="n"/>
      <c r="V62" s="16" t="n"/>
      <c r="W62" s="16" t="n"/>
      <c r="X62" s="16" t="n"/>
      <c r="Y62" s="16" t="n"/>
      <c r="Z62" s="16" t="n"/>
    </row>
    <row r="63" ht="12.75" customHeight="1" s="588">
      <c r="A63" s="72" t="inlineStr">
        <is>
          <t>De Imagen Corporativa</t>
        </is>
      </c>
      <c r="D63" s="740" t="n"/>
      <c r="F63" s="312">
        <f>IF($D$69&lt;&gt;0,D63/$D$69,"")</f>
        <v/>
      </c>
      <c r="G63" s="75" t="n"/>
      <c r="H63" s="303">
        <f>D42</f>
        <v/>
      </c>
      <c r="K63" s="759" t="inlineStr">
        <is>
          <t>Inversiones</t>
        </is>
      </c>
      <c r="L63" s="593" t="n"/>
      <c r="M63" s="594" t="n"/>
      <c r="N63" s="749" t="n"/>
      <c r="O63" s="594" t="n"/>
      <c r="P63" s="760" t="n"/>
      <c r="Q63" s="16" t="n"/>
      <c r="R63" s="16" t="n"/>
      <c r="S63" s="16" t="n"/>
      <c r="T63" s="16" t="n"/>
      <c r="U63" s="16" t="n"/>
      <c r="V63" s="16" t="n"/>
      <c r="W63" s="16" t="n"/>
      <c r="X63" s="16" t="n"/>
      <c r="Y63" s="16" t="n"/>
      <c r="Z63" s="16" t="n"/>
    </row>
    <row r="64" ht="12.75" customHeight="1" s="588">
      <c r="A64" s="72" t="inlineStr">
        <is>
          <t>De Promoción Inicial</t>
        </is>
      </c>
      <c r="D64" s="532">
        <f>IF(G13=0%,('CÓMO'!G178+'CÓMO'!G276)*1.21,'CÓMO'!G178+'CÓMO'!G276)</f>
        <v/>
      </c>
      <c r="F64" s="312">
        <f>IF($D$69&lt;&gt;0,D64/$D$69,"")</f>
        <v/>
      </c>
      <c r="G64" s="75" t="n"/>
      <c r="H64" s="334" t="n"/>
      <c r="I64" s="303">
        <f>E42</f>
        <v/>
      </c>
      <c r="J64" s="334" t="n"/>
      <c r="K64" s="748" t="inlineStr">
        <is>
          <t>% Amortización</t>
        </is>
      </c>
      <c r="M64" s="596" t="n"/>
      <c r="N64" s="383" t="n"/>
      <c r="O64" s="596" t="n"/>
      <c r="Q64" s="16" t="n"/>
      <c r="R64" s="16" t="n"/>
      <c r="S64" s="16" t="n"/>
      <c r="T64" s="16" t="n"/>
      <c r="U64" s="16" t="n"/>
      <c r="V64" s="16" t="n"/>
      <c r="W64" s="16" t="n"/>
      <c r="X64" s="16" t="n"/>
      <c r="Y64" s="16" t="n"/>
      <c r="Z64" s="16" t="n"/>
    </row>
    <row r="65" ht="12.75" customHeight="1" s="588">
      <c r="A65" s="757" t="inlineStr">
        <is>
          <t>GASTOS INICIALES PREVIOS</t>
        </is>
      </c>
      <c r="B65" s="590" t="n"/>
      <c r="C65" s="591" t="n"/>
      <c r="D65" s="742">
        <f>SUM(D61:D64)</f>
        <v/>
      </c>
      <c r="E65" s="591" t="n"/>
      <c r="F65" s="317">
        <f>IF($D$69&lt;&gt;0,D65/$D$69,"")</f>
        <v/>
      </c>
      <c r="G65" s="75" t="n"/>
      <c r="H65" s="72" t="n"/>
      <c r="K65" s="748" t="inlineStr">
        <is>
          <t>Financiación Propia</t>
        </is>
      </c>
      <c r="M65" s="596" t="n"/>
      <c r="N65" s="761">
        <f>IF(N63&lt;N66,0,N63-N66-N67)</f>
        <v/>
      </c>
      <c r="O65" s="596" t="n"/>
      <c r="P65" s="345" t="n"/>
      <c r="Q65" s="16" t="n"/>
      <c r="R65" s="16" t="n"/>
      <c r="S65" s="16" t="n"/>
      <c r="T65" s="16" t="n"/>
      <c r="U65" s="16" t="n"/>
      <c r="V65" s="16" t="n"/>
      <c r="W65" s="16" t="n"/>
      <c r="X65" s="16" t="n"/>
      <c r="Y65" s="16" t="n"/>
      <c r="Z65" s="16" t="n"/>
    </row>
    <row r="66" ht="12.75" customHeight="1" s="588">
      <c r="A66" s="72" t="inlineStr">
        <is>
          <t>Existencias Iniciales</t>
        </is>
      </c>
      <c r="D66" s="740" t="n"/>
      <c r="F66" s="312">
        <f>IF($D$69&lt;&gt;0,D66/$D$69,"")</f>
        <v/>
      </c>
      <c r="G66" s="75" t="n"/>
      <c r="H66" s="72" t="n"/>
      <c r="K66" s="748" t="inlineStr">
        <is>
          <t>Subvenciones</t>
        </is>
      </c>
      <c r="M66" s="596" t="n"/>
      <c r="N66" s="762" t="n"/>
      <c r="O66" s="596" t="n"/>
      <c r="P66" s="1" t="n"/>
      <c r="Q66" s="16" t="n"/>
      <c r="R66" s="16" t="n"/>
      <c r="S66" s="16" t="n"/>
      <c r="T66" s="16" t="n"/>
      <c r="U66" s="16" t="n"/>
      <c r="V66" s="16" t="n"/>
      <c r="W66" s="16" t="n"/>
      <c r="X66" s="16" t="n"/>
      <c r="Y66" s="16" t="n"/>
      <c r="Z66" s="16" t="n"/>
    </row>
    <row r="67" ht="12.75" customHeight="1" s="588">
      <c r="A67" s="347" t="inlineStr">
        <is>
          <t>EXISTENCIAS INICIALES</t>
        </is>
      </c>
      <c r="B67" s="348" t="n"/>
      <c r="C67" s="349" t="n"/>
      <c r="D67" s="742">
        <f>D66</f>
        <v/>
      </c>
      <c r="E67" s="591" t="n"/>
      <c r="F67" s="317">
        <f>IF($D$69&lt;&gt;0,D67/$D$69,"")</f>
        <v/>
      </c>
      <c r="G67" s="75" t="n"/>
      <c r="H67" s="72" t="n"/>
      <c r="K67" s="748" t="inlineStr">
        <is>
          <t>Financiación Ajena</t>
        </is>
      </c>
      <c r="M67" s="596" t="n"/>
      <c r="N67" s="762" t="n"/>
      <c r="O67" s="596" t="n"/>
      <c r="P67" s="335">
        <f>IF(N67&lt;0,"ERROR","")</f>
        <v/>
      </c>
      <c r="Q67" s="16" t="n"/>
      <c r="R67" s="16" t="n"/>
      <c r="S67" s="16" t="n"/>
      <c r="T67" s="16" t="n"/>
      <c r="U67" s="16" t="n"/>
      <c r="V67" s="16" t="n"/>
      <c r="W67" s="16" t="n"/>
      <c r="X67" s="16" t="n"/>
      <c r="Y67" s="16" t="n"/>
      <c r="Z67" s="16" t="n"/>
    </row>
    <row r="68" ht="12.75" customHeight="1" s="588">
      <c r="A68" s="757">
        <f>IF($G$13&gt;0,"IVA Inversiones Iniciales","")</f>
        <v/>
      </c>
      <c r="B68" s="590" t="n"/>
      <c r="C68" s="591" t="n"/>
      <c r="D68" s="742">
        <f>IF(G13=0%,0,$G$15*(D53+D57+D65)+G11*D67)</f>
        <v/>
      </c>
      <c r="E68" s="591" t="n"/>
      <c r="F68" s="312">
        <f>IF($D$69&lt;&gt;0,D68/$D$69,"")</f>
        <v/>
      </c>
      <c r="G68" s="75" t="n"/>
      <c r="H68" s="72" t="n"/>
      <c r="K68" s="748" t="inlineStr">
        <is>
          <t>Tipo de Financiación</t>
        </is>
      </c>
      <c r="M68" s="596" t="n"/>
      <c r="N68" s="754" t="n"/>
      <c r="O68" s="596" t="n"/>
      <c r="P68" s="1" t="n"/>
      <c r="Q68" s="16" t="n"/>
      <c r="R68" s="16" t="n"/>
      <c r="S68" s="16" t="n"/>
      <c r="T68" s="16" t="n"/>
      <c r="U68" s="16" t="n"/>
      <c r="V68" s="16" t="n"/>
      <c r="W68" s="16" t="n"/>
      <c r="X68" s="16" t="n"/>
      <c r="Y68" s="16" t="n"/>
      <c r="Z68" s="16" t="n"/>
    </row>
    <row r="69" ht="12.75" customHeight="1" s="588">
      <c r="A69" s="763" t="inlineStr">
        <is>
          <t>INVERSIÓN TOTAL</t>
        </is>
      </c>
      <c r="B69" s="590" t="n"/>
      <c r="C69" s="591" t="n"/>
      <c r="D69" s="764">
        <f>D60+D65+D67+D68</f>
        <v/>
      </c>
      <c r="E69" s="591" t="n"/>
      <c r="F69" s="75">
        <f>IF($B$35&lt;&gt;0,D68/$B$35,"")</f>
        <v/>
      </c>
      <c r="G69" s="75" t="n"/>
      <c r="H69" s="72" t="n"/>
      <c r="K69" s="748" t="inlineStr">
        <is>
          <t>Plazo (meses)</t>
        </is>
      </c>
      <c r="M69" s="596" t="n"/>
      <c r="N69" s="755" t="n"/>
      <c r="O69" s="596" t="n"/>
      <c r="P69" s="1" t="n"/>
      <c r="Q69" s="16" t="n"/>
      <c r="R69" s="16" t="n"/>
      <c r="S69" s="16" t="n"/>
      <c r="T69" s="16" t="n"/>
      <c r="U69" s="16" t="n"/>
      <c r="V69" s="16" t="n"/>
      <c r="W69" s="16" t="n"/>
      <c r="X69" s="16" t="n"/>
      <c r="Y69" s="16" t="n"/>
      <c r="Z69" s="16" t="n"/>
    </row>
    <row r="70" ht="12.75" customHeight="1" s="588">
      <c r="A70" s="347" t="inlineStr">
        <is>
          <t>Tesorería Inicial</t>
        </is>
      </c>
      <c r="B70" s="348" t="n"/>
      <c r="C70" s="349" t="n"/>
      <c r="D70" s="742">
        <f>N50-D69</f>
        <v/>
      </c>
      <c r="E70" s="591" t="n"/>
      <c r="F70" s="75" t="n"/>
      <c r="G70" s="75" t="n"/>
      <c r="H70" s="72" t="n"/>
      <c r="K70" s="748" t="inlineStr">
        <is>
          <t>Cuota</t>
        </is>
      </c>
      <c r="M70" s="596" t="n"/>
      <c r="N70" s="765">
        <f>IF(N69=0,0,PMT(N68/12,N69,-N67,0))</f>
        <v/>
      </c>
      <c r="O70" s="596" t="n"/>
      <c r="P70" s="1" t="n"/>
      <c r="Q70" s="16" t="n"/>
      <c r="R70" s="16" t="n"/>
      <c r="S70" s="16" t="n"/>
      <c r="T70" s="16" t="n"/>
      <c r="U70" s="16" t="n"/>
      <c r="V70" s="16" t="n"/>
      <c r="W70" s="16" t="n"/>
      <c r="X70" s="16" t="n"/>
      <c r="Y70" s="16" t="n"/>
      <c r="Z70" s="16" t="n"/>
    </row>
    <row r="71" ht="12.75" customHeight="1" s="588">
      <c r="A71" s="75" t="n"/>
      <c r="B71" s="75" t="n"/>
      <c r="C71" s="75" t="n"/>
      <c r="D71" s="353" t="n"/>
      <c r="E71" s="1" t="n"/>
      <c r="F71" s="75" t="n"/>
      <c r="G71" s="1" t="n"/>
      <c r="H71" s="1" t="n"/>
      <c r="I71" s="1" t="n"/>
      <c r="J71" s="1" t="n"/>
      <c r="K71" s="748" t="inlineStr">
        <is>
          <t>Gastos Financieros</t>
        </is>
      </c>
      <c r="M71" s="596" t="n"/>
      <c r="N71" s="765">
        <f>N70*12-(N67-N72)</f>
        <v/>
      </c>
      <c r="O71" s="596" t="n"/>
      <c r="P71" s="1" t="n"/>
      <c r="Q71" s="16" t="n"/>
      <c r="R71" s="16" t="n"/>
      <c r="S71" s="16" t="n"/>
      <c r="T71" s="16" t="n"/>
      <c r="U71" s="16" t="n"/>
      <c r="V71" s="16" t="n"/>
      <c r="W71" s="16" t="n"/>
      <c r="X71" s="16" t="n"/>
      <c r="Y71" s="16" t="n"/>
      <c r="Z71" s="16" t="n"/>
    </row>
    <row r="72" ht="12.75" customHeight="1" s="588">
      <c r="A72" s="83" t="inlineStr">
        <is>
          <t>Las Inversiones se consideran realizadas al inicio de cada año</t>
        </is>
      </c>
      <c r="G72" s="1" t="n"/>
      <c r="H72" s="1" t="n"/>
      <c r="I72" s="1" t="n"/>
      <c r="J72" s="1" t="n"/>
      <c r="K72" s="766" t="inlineStr">
        <is>
          <t>Capital Pendiente Fin Año</t>
        </is>
      </c>
      <c r="L72" s="598" t="n"/>
      <c r="M72" s="599" t="n"/>
      <c r="N72" s="767">
        <f>-FV(N68/12,12,-N70,N67)</f>
        <v/>
      </c>
      <c r="O72" s="599" t="n"/>
      <c r="P72" s="1" t="n"/>
      <c r="Q72" s="16" t="n"/>
      <c r="R72" s="16" t="n"/>
      <c r="S72" s="16" t="n"/>
      <c r="T72" s="16" t="n"/>
      <c r="U72" s="16" t="n"/>
      <c r="V72" s="16" t="n"/>
      <c r="W72" s="16" t="n"/>
      <c r="X72" s="16" t="n"/>
      <c r="Y72" s="16" t="n"/>
      <c r="Z72" s="16" t="n"/>
    </row>
    <row r="73" ht="12.75" customHeight="1" s="588">
      <c r="A73" s="8" t="inlineStr">
        <is>
          <t>¿CUÁNTO Y CUÁNDO?</t>
        </is>
      </c>
      <c r="B73" s="1" t="n"/>
      <c r="C73" s="1" t="n"/>
      <c r="D73" s="1" t="n"/>
      <c r="E73" s="1" t="n"/>
      <c r="F73" s="1" t="n"/>
      <c r="G73" s="1" t="n"/>
      <c r="H73" s="1" t="n"/>
      <c r="I73" s="1" t="n"/>
      <c r="J73" s="185" t="n"/>
      <c r="K73" s="185" t="n"/>
      <c r="L73" s="1" t="n"/>
      <c r="M73" s="1" t="n"/>
      <c r="N73" s="1" t="n"/>
      <c r="O73" s="1" t="n"/>
      <c r="P73" s="185" t="inlineStr">
        <is>
          <t>Plan Financiero</t>
        </is>
      </c>
      <c r="Q73" s="16" t="n"/>
      <c r="R73" s="16" t="n"/>
      <c r="S73" s="16" t="n"/>
      <c r="T73" s="16" t="n"/>
      <c r="U73" s="16" t="n"/>
      <c r="V73" s="16" t="n"/>
      <c r="W73" s="16" t="n"/>
      <c r="X73" s="16" t="n"/>
      <c r="Y73" s="16" t="n"/>
      <c r="Z73" s="16" t="n"/>
    </row>
    <row r="74" ht="12.75" customHeight="1" s="588">
      <c r="A74" s="356" t="n"/>
      <c r="B74" s="356" t="n"/>
      <c r="C74" s="356" t="n"/>
      <c r="D74" s="356" t="n"/>
      <c r="E74" s="356" t="n"/>
      <c r="F74" s="356" t="n"/>
      <c r="G74" s="356" t="n"/>
      <c r="H74" s="356" t="n"/>
      <c r="I74" s="356" t="n"/>
      <c r="J74" s="356" t="n"/>
      <c r="K74" s="1" t="n"/>
      <c r="L74" s="1" t="n"/>
      <c r="M74" s="1" t="n"/>
      <c r="N74" s="1" t="n"/>
      <c r="O74" s="1" t="n"/>
      <c r="P74" s="1" t="n"/>
      <c r="Q74" s="16" t="n"/>
      <c r="R74" s="16" t="n"/>
      <c r="S74" s="16" t="n"/>
      <c r="T74" s="16" t="n"/>
      <c r="U74" s="16" t="n"/>
      <c r="V74" s="16" t="n"/>
      <c r="W74" s="16" t="n"/>
      <c r="X74" s="16" t="n"/>
      <c r="Y74" s="16" t="n"/>
      <c r="Z74" s="16" t="n"/>
    </row>
    <row r="75" ht="12.75" customHeight="1" s="588">
      <c r="A75" s="356" t="n"/>
      <c r="B75" s="356" t="n"/>
      <c r="C75" s="169" t="n"/>
      <c r="D75" s="1" t="n"/>
      <c r="E75" s="1" t="n"/>
      <c r="F75" s="1" t="n"/>
      <c r="G75" s="1" t="n"/>
      <c r="H75" s="356" t="n"/>
      <c r="I75" s="356" t="n"/>
      <c r="J75" s="356" t="n"/>
      <c r="K75" s="1" t="n"/>
      <c r="L75" s="1" t="n"/>
      <c r="M75" s="1" t="n"/>
      <c r="N75" s="1" t="n"/>
      <c r="O75" s="1" t="n"/>
      <c r="P75" s="1" t="n"/>
      <c r="Q75" s="16" t="n"/>
      <c r="R75" s="16" t="n"/>
      <c r="S75" s="16" t="n"/>
      <c r="T75" s="16" t="n"/>
      <c r="U75" s="16" t="n"/>
      <c r="V75" s="16" t="n"/>
      <c r="W75" s="16" t="n"/>
      <c r="X75" s="16" t="n"/>
      <c r="Y75" s="16" t="n"/>
      <c r="Z75" s="16" t="n"/>
    </row>
    <row r="76" ht="12.75" customHeight="1" s="588">
      <c r="A76" s="356" t="n"/>
      <c r="B76" s="356" t="n"/>
      <c r="C76" s="356" t="n"/>
      <c r="D76" s="356" t="n"/>
      <c r="E76" s="356" t="n"/>
      <c r="F76" s="768" t="inlineStr">
        <is>
          <t>TABLA DE AMORTIZACIÓN DEL PRÉSTAMO DEL AÑO 1</t>
        </is>
      </c>
      <c r="G76" s="649" t="n"/>
      <c r="H76" s="649" t="n"/>
      <c r="I76" s="649" t="n"/>
      <c r="J76" s="649" t="n"/>
      <c r="K76" s="649" t="n"/>
      <c r="L76" s="647" t="n"/>
      <c r="M76" s="1" t="n"/>
      <c r="N76" s="1" t="n"/>
      <c r="O76" s="1" t="n"/>
      <c r="P76" s="1" t="n"/>
      <c r="Q76" s="16" t="n"/>
      <c r="R76" s="16" t="n"/>
      <c r="S76" s="16" t="n"/>
      <c r="T76" s="16" t="n"/>
      <c r="U76" s="16" t="n"/>
      <c r="V76" s="16" t="n"/>
      <c r="W76" s="16" t="n"/>
      <c r="X76" s="16" t="n"/>
      <c r="Y76" s="16" t="n"/>
      <c r="Z76" s="16" t="n"/>
    </row>
    <row r="77" ht="12.75" customHeight="1" s="588">
      <c r="A77" s="283" t="n"/>
      <c r="B77" s="358" t="n"/>
      <c r="C77" s="356" t="n"/>
      <c r="D77" s="356" t="n"/>
      <c r="E77" s="356" t="n"/>
      <c r="F77" s="356" t="n"/>
      <c r="G77" s="356" t="n"/>
      <c r="H77" s="356" t="n"/>
      <c r="I77" s="356" t="n"/>
      <c r="J77" s="356" t="n"/>
      <c r="K77" s="1" t="n"/>
      <c r="L77" s="1" t="n"/>
      <c r="M77" s="1" t="n"/>
      <c r="N77" s="1" t="n"/>
      <c r="O77" s="1" t="n"/>
      <c r="P77" s="1" t="n"/>
      <c r="Q77" s="16" t="n"/>
      <c r="R77" s="16" t="n"/>
      <c r="S77" s="16" t="n"/>
      <c r="T77" s="16" t="n"/>
      <c r="U77" s="16" t="n"/>
      <c r="V77" s="16" t="n"/>
      <c r="W77" s="16" t="n"/>
      <c r="X77" s="16" t="n"/>
      <c r="Y77" s="16" t="n"/>
      <c r="Z77" s="16" t="n"/>
    </row>
    <row r="78" ht="12.75" customHeight="1" s="588">
      <c r="A78" s="283" t="n"/>
      <c r="B78" s="283" t="n"/>
      <c r="C78" s="358" t="n"/>
      <c r="D78" s="356" t="n"/>
      <c r="E78" s="356" t="n"/>
      <c r="F78" s="356" t="n"/>
      <c r="G78" s="356" t="n"/>
      <c r="H78" s="356" t="n"/>
      <c r="I78" s="356" t="n"/>
      <c r="J78" s="356" t="n"/>
      <c r="K78" s="1" t="n"/>
      <c r="L78" s="1" t="n"/>
      <c r="M78" s="1" t="n"/>
      <c r="N78" s="1" t="n"/>
      <c r="O78" s="1" t="n"/>
      <c r="P78" s="1" t="n"/>
      <c r="Q78" s="16" t="n"/>
      <c r="R78" s="16" t="n"/>
      <c r="S78" s="16" t="n"/>
      <c r="T78" s="16" t="n"/>
      <c r="U78" s="16" t="n"/>
      <c r="V78" s="16" t="n"/>
      <c r="W78" s="16" t="n"/>
      <c r="X78" s="16" t="n"/>
      <c r="Y78" s="16" t="n"/>
      <c r="Z78" s="16" t="n"/>
    </row>
    <row r="79" ht="12.75" customHeight="1" s="588">
      <c r="A79" s="283" t="n"/>
      <c r="B79" s="283" t="n"/>
      <c r="C79" s="283" t="inlineStr">
        <is>
          <t>Capital inicial</t>
        </is>
      </c>
      <c r="D79" s="359">
        <f>N47</f>
        <v/>
      </c>
      <c r="E79" s="356" t="n"/>
      <c r="F79" s="356" t="n"/>
      <c r="G79" s="356" t="n"/>
      <c r="H79" s="356" t="n"/>
      <c r="I79" s="356" t="n"/>
      <c r="J79" s="356" t="n"/>
      <c r="K79" s="1" t="n"/>
      <c r="L79" s="1" t="n"/>
      <c r="M79" s="1" t="n"/>
      <c r="N79" s="1" t="n"/>
      <c r="O79" s="1" t="n"/>
      <c r="P79" s="1" t="n"/>
      <c r="Q79" s="16" t="n"/>
      <c r="R79" s="16" t="n"/>
      <c r="S79" s="16" t="n"/>
      <c r="T79" s="16" t="n"/>
      <c r="U79" s="16" t="n"/>
      <c r="V79" s="16" t="n"/>
      <c r="W79" s="16" t="n"/>
      <c r="X79" s="16" t="n"/>
      <c r="Y79" s="16" t="n"/>
      <c r="Z79" s="16" t="n"/>
    </row>
    <row r="80" ht="12.75" customHeight="1" s="588">
      <c r="A80" s="283" t="n"/>
      <c r="B80" s="283" t="n"/>
      <c r="C80" s="283" t="inlineStr">
        <is>
          <t>Tipo</t>
        </is>
      </c>
      <c r="D80" s="360" t="n">
        <v>0.05</v>
      </c>
      <c r="E80" s="356" t="n"/>
      <c r="F80" s="356" t="n"/>
      <c r="G80" s="356" t="n"/>
      <c r="H80" s="356" t="n"/>
      <c r="I80" s="356" t="n"/>
      <c r="J80" s="356" t="n"/>
      <c r="K80" s="1" t="n"/>
      <c r="L80" s="1" t="n"/>
      <c r="M80" s="1" t="n"/>
      <c r="N80" s="1" t="n"/>
      <c r="O80" s="1" t="n"/>
      <c r="P80" s="1" t="n"/>
      <c r="Q80" s="16" t="n"/>
      <c r="R80" s="16" t="n"/>
      <c r="S80" s="16" t="n"/>
      <c r="T80" s="16" t="n"/>
      <c r="U80" s="16" t="n"/>
      <c r="V80" s="16" t="n"/>
      <c r="W80" s="16" t="n"/>
      <c r="X80" s="16" t="n"/>
      <c r="Y80" s="16" t="n"/>
      <c r="Z80" s="16" t="n"/>
    </row>
    <row r="81" ht="12.75" customHeight="1" s="588">
      <c r="A81" s="356" t="n"/>
      <c r="B81" s="283" t="n"/>
      <c r="C81" s="283" t="inlineStr">
        <is>
          <t>Plazo (Meses)</t>
        </is>
      </c>
      <c r="D81" s="361" t="n">
        <v>36</v>
      </c>
      <c r="E81" s="362" t="n"/>
      <c r="F81" s="362" t="n"/>
      <c r="G81" s="362" t="n"/>
      <c r="H81" s="362" t="n"/>
      <c r="I81" s="356" t="n"/>
      <c r="J81" s="356" t="n"/>
      <c r="K81" s="1" t="n"/>
      <c r="L81" s="1" t="n"/>
      <c r="M81" s="1" t="n"/>
      <c r="N81" s="1" t="n"/>
      <c r="O81" s="1" t="n"/>
      <c r="P81" s="1" t="n"/>
      <c r="Q81" s="16" t="n"/>
      <c r="R81" s="16" t="n"/>
      <c r="S81" s="16" t="n"/>
      <c r="T81" s="16" t="n"/>
      <c r="U81" s="16" t="n"/>
      <c r="V81" s="16" t="n"/>
      <c r="W81" s="16" t="n"/>
      <c r="X81" s="16" t="n"/>
      <c r="Y81" s="16" t="n"/>
      <c r="Z81" s="16" t="n"/>
    </row>
    <row r="82" ht="12.75" customHeight="1" s="588">
      <c r="A82" s="356" t="n"/>
      <c r="B82" s="356" t="n"/>
      <c r="C82" s="283" t="inlineStr">
        <is>
          <t>Cuota</t>
        </is>
      </c>
      <c r="D82" s="359">
        <f>-PMT(D80/12,D81,D79)</f>
        <v/>
      </c>
      <c r="E82" s="356" t="n"/>
      <c r="F82" s="356" t="n"/>
      <c r="G82" s="356" t="n"/>
      <c r="H82" s="356" t="n"/>
      <c r="I82" s="356" t="n"/>
      <c r="J82" s="356" t="n"/>
      <c r="K82" s="1" t="n"/>
      <c r="L82" s="1" t="n"/>
      <c r="M82" s="1" t="n"/>
      <c r="N82" s="1" t="n"/>
      <c r="O82" s="1" t="n"/>
      <c r="P82" s="1" t="n"/>
      <c r="Q82" s="16" t="n"/>
      <c r="R82" s="16" t="n"/>
      <c r="S82" s="16" t="n"/>
      <c r="T82" s="16" t="n"/>
      <c r="U82" s="16" t="n"/>
      <c r="V82" s="16" t="n"/>
      <c r="W82" s="16" t="n"/>
      <c r="X82" s="16" t="n"/>
      <c r="Y82" s="16" t="n"/>
      <c r="Z82" s="16" t="n"/>
    </row>
    <row r="83" ht="12.75" customHeight="1" s="588">
      <c r="A83" s="356" t="n"/>
      <c r="B83" s="83" t="n"/>
      <c r="C83" s="83" t="n"/>
      <c r="D83" s="83" t="n"/>
      <c r="E83" s="83" t="n"/>
      <c r="F83" s="83" t="n"/>
      <c r="G83" s="83" t="n"/>
      <c r="H83" s="83" t="n"/>
      <c r="I83" s="83" t="n"/>
      <c r="J83" s="83" t="n"/>
      <c r="K83" s="83" t="n"/>
      <c r="L83" s="83" t="n"/>
      <c r="M83" s="83" t="n"/>
      <c r="N83" s="1" t="n"/>
      <c r="O83" s="1" t="n"/>
      <c r="P83" s="1" t="n"/>
      <c r="Q83" s="16" t="n"/>
      <c r="R83" s="16" t="n"/>
      <c r="S83" s="16" t="n"/>
      <c r="T83" s="16" t="n"/>
      <c r="U83" s="16" t="n"/>
      <c r="V83" s="16" t="n"/>
      <c r="W83" s="16" t="n"/>
      <c r="X83" s="16" t="n"/>
      <c r="Y83" s="16" t="n"/>
      <c r="Z83" s="16" t="n"/>
    </row>
    <row r="84" ht="12.75" customHeight="1" s="588">
      <c r="A84" s="72" t="n"/>
      <c r="B84" s="358" t="n"/>
      <c r="C84" s="358" t="n"/>
      <c r="D84" s="72" t="n"/>
      <c r="E84" s="358" t="n"/>
      <c r="F84" s="358" t="n"/>
      <c r="G84" s="358" t="n"/>
      <c r="H84" s="358" t="n"/>
      <c r="I84" s="358" t="n"/>
      <c r="J84" s="358" t="n"/>
      <c r="K84" s="358" t="n"/>
      <c r="L84" s="358" t="n"/>
      <c r="M84" s="358" t="n"/>
      <c r="N84" s="1" t="n"/>
      <c r="O84" s="1" t="n"/>
      <c r="P84" s="1" t="n"/>
      <c r="Q84" s="16" t="n"/>
      <c r="R84" s="16" t="n"/>
      <c r="S84" s="16" t="n"/>
      <c r="T84" s="16" t="n"/>
      <c r="U84" s="16" t="n"/>
      <c r="V84" s="16" t="n"/>
      <c r="W84" s="16" t="n"/>
      <c r="X84" s="16" t="n"/>
      <c r="Y84" s="16" t="n"/>
      <c r="Z84" s="16" t="n"/>
    </row>
    <row r="85" ht="12.75" customHeight="1" s="588">
      <c r="A85" s="72" t="n"/>
      <c r="B85" s="358" t="n"/>
      <c r="C85" s="83" t="n"/>
      <c r="D85" s="363" t="inlineStr">
        <is>
          <t>Mes 1</t>
        </is>
      </c>
      <c r="E85" s="364" t="inlineStr">
        <is>
          <t>Mes 2</t>
        </is>
      </c>
      <c r="F85" s="364" t="inlineStr">
        <is>
          <t>Mes 3</t>
        </is>
      </c>
      <c r="G85" s="364" t="inlineStr">
        <is>
          <t>Mes 4</t>
        </is>
      </c>
      <c r="H85" s="364" t="inlineStr">
        <is>
          <t>Mes 5</t>
        </is>
      </c>
      <c r="I85" s="364" t="inlineStr">
        <is>
          <t>Mes 6</t>
        </is>
      </c>
      <c r="J85" s="364" t="inlineStr">
        <is>
          <t>Mes 7</t>
        </is>
      </c>
      <c r="K85" s="364" t="inlineStr">
        <is>
          <t>Mes 8</t>
        </is>
      </c>
      <c r="L85" s="364" t="inlineStr">
        <is>
          <t>Mes 9</t>
        </is>
      </c>
      <c r="M85" s="364" t="inlineStr">
        <is>
          <t>Mes 10</t>
        </is>
      </c>
      <c r="N85" s="364" t="inlineStr">
        <is>
          <t>Mes 11</t>
        </is>
      </c>
      <c r="O85" s="308" t="inlineStr">
        <is>
          <t>Mes 12</t>
        </is>
      </c>
      <c r="P85" s="1" t="n"/>
      <c r="Q85" s="16" t="n"/>
      <c r="R85" s="16" t="n"/>
      <c r="S85" s="16" t="n"/>
      <c r="T85" s="16" t="n"/>
      <c r="U85" s="16" t="n"/>
      <c r="V85" s="16" t="n"/>
      <c r="W85" s="16" t="n"/>
      <c r="X85" s="16" t="n"/>
      <c r="Y85" s="16" t="n"/>
      <c r="Z85" s="16" t="n"/>
    </row>
    <row r="86" ht="12.75" customHeight="1" s="588">
      <c r="A86" s="72" t="n"/>
      <c r="B86" s="358" t="n"/>
      <c r="C86" s="72" t="inlineStr">
        <is>
          <t>Por Intereses</t>
        </is>
      </c>
      <c r="D86" s="365">
        <f>$D$80*D79/12</f>
        <v/>
      </c>
      <c r="E86" s="365">
        <f>$D$80*D88/12</f>
        <v/>
      </c>
      <c r="F86" s="365">
        <f>$D$80*E88/12</f>
        <v/>
      </c>
      <c r="G86" s="365">
        <f>$D$80*F88/12</f>
        <v/>
      </c>
      <c r="H86" s="365">
        <f>$D$80*G88/12</f>
        <v/>
      </c>
      <c r="I86" s="365">
        <f>$D$80*H88/12</f>
        <v/>
      </c>
      <c r="J86" s="365">
        <f>$D$80*I88/12</f>
        <v/>
      </c>
      <c r="K86" s="365">
        <f>$D$80*J88/12</f>
        <v/>
      </c>
      <c r="L86" s="365">
        <f>$D$80*K88/12</f>
        <v/>
      </c>
      <c r="M86" s="365">
        <f>$D$80*L88/12</f>
        <v/>
      </c>
      <c r="N86" s="365">
        <f>$D$80*M88/12</f>
        <v/>
      </c>
      <c r="O86" s="365">
        <f>$D$80*N88/12</f>
        <v/>
      </c>
      <c r="P86" s="229" t="n"/>
      <c r="Q86" s="16" t="n"/>
      <c r="R86" s="16" t="n"/>
      <c r="S86" s="16" t="n"/>
      <c r="T86" s="16" t="n"/>
      <c r="U86" s="16" t="n"/>
      <c r="V86" s="16" t="n"/>
      <c r="W86" s="16" t="n"/>
      <c r="X86" s="16" t="n"/>
      <c r="Y86" s="16" t="n"/>
      <c r="Z86" s="16" t="n"/>
    </row>
    <row r="87" ht="12.75" customHeight="1" s="588">
      <c r="A87" s="75" t="n"/>
      <c r="B87" s="358" t="n"/>
      <c r="C87" s="72" t="inlineStr">
        <is>
          <t>Por Capital</t>
        </is>
      </c>
      <c r="D87" s="365">
        <f>$D$82-D86</f>
        <v/>
      </c>
      <c r="E87" s="365">
        <f>$D$82-E86</f>
        <v/>
      </c>
      <c r="F87" s="365">
        <f>$D$82-F86</f>
        <v/>
      </c>
      <c r="G87" s="365">
        <f>$D$82-G86</f>
        <v/>
      </c>
      <c r="H87" s="365">
        <f>$D$82-H86</f>
        <v/>
      </c>
      <c r="I87" s="365">
        <f>$D$82-I86</f>
        <v/>
      </c>
      <c r="J87" s="365">
        <f>$D$82-J86</f>
        <v/>
      </c>
      <c r="K87" s="365">
        <f>$D$82-K86</f>
        <v/>
      </c>
      <c r="L87" s="365">
        <f>$D$82-L86</f>
        <v/>
      </c>
      <c r="M87" s="365">
        <f>$D$82-M86</f>
        <v/>
      </c>
      <c r="N87" s="365">
        <f>$D$82-N86</f>
        <v/>
      </c>
      <c r="O87" s="365">
        <f>$D$82-O86</f>
        <v/>
      </c>
      <c r="P87" s="1" t="n"/>
      <c r="Q87" s="16" t="n"/>
      <c r="R87" s="16" t="n"/>
      <c r="S87" s="16" t="n"/>
      <c r="T87" s="16" t="n"/>
      <c r="U87" s="16" t="n"/>
      <c r="V87" s="16" t="n"/>
      <c r="W87" s="16" t="n"/>
      <c r="X87" s="16" t="n"/>
      <c r="Y87" s="16" t="n"/>
      <c r="Z87" s="16" t="n"/>
    </row>
    <row r="88" ht="12.75" customHeight="1" s="588">
      <c r="A88" s="356" t="n"/>
      <c r="B88" s="83" t="n"/>
      <c r="C88" s="72" t="inlineStr">
        <is>
          <t>Nuevo Capital Pendiente</t>
        </is>
      </c>
      <c r="D88" s="365">
        <f>$D$79-D87</f>
        <v/>
      </c>
      <c r="E88" s="365">
        <f>D88-E87</f>
        <v/>
      </c>
      <c r="F88" s="365">
        <f>E88-F87</f>
        <v/>
      </c>
      <c r="G88" s="365">
        <f>F88-G87</f>
        <v/>
      </c>
      <c r="H88" s="365">
        <f>G88-H87</f>
        <v/>
      </c>
      <c r="I88" s="365">
        <f>H88-I87</f>
        <v/>
      </c>
      <c r="J88" s="365">
        <f>I88-J87</f>
        <v/>
      </c>
      <c r="K88" s="365">
        <f>J88-K87</f>
        <v/>
      </c>
      <c r="L88" s="365">
        <f>K88-L87</f>
        <v/>
      </c>
      <c r="M88" s="365">
        <f>L88-M87</f>
        <v/>
      </c>
      <c r="N88" s="365">
        <f>M88-N87</f>
        <v/>
      </c>
      <c r="O88" s="365">
        <f>N88-O87</f>
        <v/>
      </c>
      <c r="P88" s="1" t="n"/>
      <c r="Q88" s="16" t="n"/>
      <c r="R88" s="16" t="n"/>
      <c r="S88" s="16" t="n"/>
      <c r="T88" s="16" t="n"/>
      <c r="U88" s="16" t="n"/>
      <c r="V88" s="16" t="n"/>
      <c r="W88" s="16" t="n"/>
      <c r="X88" s="16" t="n"/>
      <c r="Y88" s="16" t="n"/>
      <c r="Z88" s="16" t="n"/>
    </row>
    <row r="89" ht="12.75" customHeight="1" s="588">
      <c r="A89" s="72" t="n"/>
      <c r="B89" s="358" t="n"/>
      <c r="C89" s="358" t="n"/>
      <c r="D89" s="358" t="n"/>
      <c r="E89" s="358" t="n"/>
      <c r="F89" s="358" t="n"/>
      <c r="G89" s="358" t="n"/>
      <c r="H89" s="358" t="n"/>
      <c r="I89" s="358" t="n"/>
      <c r="J89" s="358" t="n"/>
      <c r="K89" s="1" t="n"/>
      <c r="L89" s="1" t="n"/>
      <c r="M89" s="1" t="n"/>
      <c r="N89" s="1" t="n"/>
      <c r="O89" s="1" t="n"/>
      <c r="P89" s="1" t="n"/>
      <c r="Q89" s="16" t="n"/>
      <c r="R89" s="16" t="n"/>
      <c r="S89" s="16" t="n"/>
      <c r="T89" s="16" t="n"/>
      <c r="U89" s="16" t="n"/>
      <c r="V89" s="16" t="n"/>
      <c r="W89" s="16" t="n"/>
      <c r="X89" s="16" t="n"/>
      <c r="Y89" s="16" t="n"/>
      <c r="Z89" s="16" t="n"/>
    </row>
    <row r="90" ht="12.75" customHeight="1" s="588">
      <c r="A90" s="72" t="n"/>
      <c r="B90" s="358" t="n"/>
      <c r="C90" s="358" t="n"/>
      <c r="D90" s="358" t="n"/>
      <c r="E90" s="358" t="n"/>
      <c r="F90" s="358" t="n"/>
      <c r="G90" s="358" t="n"/>
      <c r="H90" s="358" t="n"/>
      <c r="I90" s="358" t="n"/>
      <c r="J90" s="358" t="n"/>
      <c r="K90" s="1" t="n"/>
      <c r="L90" s="1" t="n"/>
      <c r="M90" s="1" t="n"/>
      <c r="N90" s="1" t="n"/>
      <c r="O90" s="1" t="n"/>
      <c r="P90" s="1" t="n"/>
      <c r="Q90" s="16" t="n"/>
      <c r="R90" s="16" t="n"/>
      <c r="S90" s="16" t="n"/>
      <c r="T90" s="16" t="n"/>
      <c r="U90" s="16" t="n"/>
      <c r="V90" s="16" t="n"/>
      <c r="W90" s="16" t="n"/>
      <c r="X90" s="16" t="n"/>
      <c r="Y90" s="16" t="n"/>
      <c r="Z90" s="16" t="n"/>
    </row>
    <row r="91" ht="12.75" customHeight="1" s="588">
      <c r="A91" s="72" t="n"/>
      <c r="B91" s="358" t="n"/>
      <c r="C91" s="83" t="n"/>
      <c r="D91" s="363" t="inlineStr">
        <is>
          <t>Mes 13</t>
        </is>
      </c>
      <c r="E91" s="364" t="inlineStr">
        <is>
          <t>Mes 14</t>
        </is>
      </c>
      <c r="F91" s="364" t="inlineStr">
        <is>
          <t>Mes 15</t>
        </is>
      </c>
      <c r="G91" s="364" t="inlineStr">
        <is>
          <t>Mes 16</t>
        </is>
      </c>
      <c r="H91" s="364" t="inlineStr">
        <is>
          <t>Mes 17</t>
        </is>
      </c>
      <c r="I91" s="364" t="inlineStr">
        <is>
          <t>Mes 18</t>
        </is>
      </c>
      <c r="J91" s="364" t="inlineStr">
        <is>
          <t>Mes 19</t>
        </is>
      </c>
      <c r="K91" s="364" t="inlineStr">
        <is>
          <t>Mes 20</t>
        </is>
      </c>
      <c r="L91" s="364" t="inlineStr">
        <is>
          <t>Mes 21</t>
        </is>
      </c>
      <c r="M91" s="364" t="inlineStr">
        <is>
          <t>Mes 22</t>
        </is>
      </c>
      <c r="N91" s="364" t="inlineStr">
        <is>
          <t>Mes 23</t>
        </is>
      </c>
      <c r="O91" s="308" t="inlineStr">
        <is>
          <t>Mes 24</t>
        </is>
      </c>
      <c r="P91" s="1" t="n"/>
      <c r="Q91" s="16" t="n"/>
      <c r="R91" s="16" t="n"/>
      <c r="S91" s="16" t="n"/>
      <c r="T91" s="16" t="n"/>
      <c r="U91" s="16" t="n"/>
      <c r="V91" s="16" t="n"/>
      <c r="W91" s="16" t="n"/>
      <c r="X91" s="16" t="n"/>
      <c r="Y91" s="16" t="n"/>
      <c r="Z91" s="16" t="n"/>
    </row>
    <row r="92" ht="12.75" customHeight="1" s="588">
      <c r="A92" s="72" t="n"/>
      <c r="B92" s="358" t="n"/>
      <c r="C92" s="72" t="inlineStr">
        <is>
          <t>Por Intereses</t>
        </is>
      </c>
      <c r="D92" s="365">
        <f>$D$80*O88/12</f>
        <v/>
      </c>
      <c r="E92" s="365">
        <f>$D$80*D94/12</f>
        <v/>
      </c>
      <c r="F92" s="365">
        <f>$D$80*E94/12</f>
        <v/>
      </c>
      <c r="G92" s="365">
        <f>$D$80*F94/12</f>
        <v/>
      </c>
      <c r="H92" s="365">
        <f>$D$80*G94/12</f>
        <v/>
      </c>
      <c r="I92" s="365">
        <f>$D$80*H94/12</f>
        <v/>
      </c>
      <c r="J92" s="365">
        <f>$D$80*I94/12</f>
        <v/>
      </c>
      <c r="K92" s="365">
        <f>$D$80*J94/12</f>
        <v/>
      </c>
      <c r="L92" s="365">
        <f>$D$80*K94/12</f>
        <v/>
      </c>
      <c r="M92" s="365">
        <f>$D$80*L94/12</f>
        <v/>
      </c>
      <c r="N92" s="365">
        <f>$D$80*M94/12</f>
        <v/>
      </c>
      <c r="O92" s="365">
        <f>$D$80*N94/12</f>
        <v/>
      </c>
      <c r="P92" s="1" t="n"/>
      <c r="Q92" s="16" t="n"/>
      <c r="R92" s="16" t="n"/>
      <c r="S92" s="16" t="n"/>
      <c r="T92" s="16" t="n"/>
      <c r="U92" s="16" t="n"/>
      <c r="V92" s="16" t="n"/>
      <c r="W92" s="16" t="n"/>
      <c r="X92" s="16" t="n"/>
      <c r="Y92" s="16" t="n"/>
      <c r="Z92" s="16" t="n"/>
    </row>
    <row r="93" ht="12.75" customHeight="1" s="588">
      <c r="A93" s="75" t="n"/>
      <c r="B93" s="358" t="n"/>
      <c r="C93" s="72" t="inlineStr">
        <is>
          <t>Por Capital</t>
        </is>
      </c>
      <c r="D93" s="365">
        <f>$D$82-D92</f>
        <v/>
      </c>
      <c r="E93" s="365">
        <f>$D$82-E92</f>
        <v/>
      </c>
      <c r="F93" s="365">
        <f>$D$82-F92</f>
        <v/>
      </c>
      <c r="G93" s="365">
        <f>$D$82-G92</f>
        <v/>
      </c>
      <c r="H93" s="365">
        <f>$D$82-H92</f>
        <v/>
      </c>
      <c r="I93" s="365">
        <f>$D$82-I92</f>
        <v/>
      </c>
      <c r="J93" s="365">
        <f>$D$82-J92</f>
        <v/>
      </c>
      <c r="K93" s="365">
        <f>$D$82-K92</f>
        <v/>
      </c>
      <c r="L93" s="365">
        <f>$D$82-L92</f>
        <v/>
      </c>
      <c r="M93" s="365">
        <f>$D$82-M92</f>
        <v/>
      </c>
      <c r="N93" s="365">
        <f>$D$82-N92</f>
        <v/>
      </c>
      <c r="O93" s="365">
        <f>$D$82-O92</f>
        <v/>
      </c>
      <c r="P93" s="1" t="n"/>
      <c r="Q93" s="16" t="n"/>
      <c r="R93" s="16" t="n"/>
      <c r="S93" s="16" t="n"/>
      <c r="T93" s="16" t="n"/>
      <c r="U93" s="16" t="n"/>
      <c r="V93" s="16" t="n"/>
      <c r="W93" s="16" t="n"/>
      <c r="X93" s="16" t="n"/>
      <c r="Y93" s="16" t="n"/>
      <c r="Z93" s="16" t="n"/>
    </row>
    <row r="94" ht="12.75" customHeight="1" s="588">
      <c r="A94" s="356" t="n"/>
      <c r="B94" s="83" t="n"/>
      <c r="C94" s="72" t="inlineStr">
        <is>
          <t>Nuevo Capital Pendiente</t>
        </is>
      </c>
      <c r="D94" s="365">
        <f>O88-D93</f>
        <v/>
      </c>
      <c r="E94" s="365">
        <f>D94-E93</f>
        <v/>
      </c>
      <c r="F94" s="365">
        <f>E94-F93</f>
        <v/>
      </c>
      <c r="G94" s="365">
        <f>F94-G93</f>
        <v/>
      </c>
      <c r="H94" s="365">
        <f>G94-H93</f>
        <v/>
      </c>
      <c r="I94" s="365">
        <f>H94-I93</f>
        <v/>
      </c>
      <c r="J94" s="365">
        <f>I94-J93</f>
        <v/>
      </c>
      <c r="K94" s="365">
        <f>J94-K93</f>
        <v/>
      </c>
      <c r="L94" s="365">
        <f>K94-L93</f>
        <v/>
      </c>
      <c r="M94" s="365">
        <f>L94-M93</f>
        <v/>
      </c>
      <c r="N94" s="365">
        <f>M94-N93</f>
        <v/>
      </c>
      <c r="O94" s="365">
        <f>N94-O93</f>
        <v/>
      </c>
      <c r="P94" s="1" t="n"/>
      <c r="Q94" s="16" t="n"/>
      <c r="R94" s="16" t="n"/>
      <c r="S94" s="16" t="n"/>
      <c r="T94" s="16" t="n"/>
      <c r="U94" s="16" t="n"/>
      <c r="V94" s="16" t="n"/>
      <c r="W94" s="16" t="n"/>
      <c r="X94" s="16" t="n"/>
      <c r="Y94" s="16" t="n"/>
      <c r="Z94" s="16" t="n"/>
    </row>
    <row r="95" ht="12.75" customHeight="1" s="588">
      <c r="A95" s="72" t="n"/>
      <c r="B95" s="358" t="n"/>
      <c r="C95" s="358" t="n"/>
      <c r="D95" s="358" t="n"/>
      <c r="E95" s="358" t="n"/>
      <c r="F95" s="358" t="n"/>
      <c r="G95" s="358" t="n"/>
      <c r="H95" s="358" t="n"/>
      <c r="I95" s="358" t="n"/>
      <c r="J95" s="358" t="n"/>
      <c r="K95" s="1" t="n"/>
      <c r="L95" s="1" t="n"/>
      <c r="M95" s="1" t="n"/>
      <c r="N95" s="1" t="n"/>
      <c r="O95" s="1" t="n"/>
      <c r="P95" s="1" t="n"/>
      <c r="Q95" s="16" t="n"/>
      <c r="R95" s="16" t="n"/>
      <c r="S95" s="16" t="n"/>
      <c r="T95" s="16" t="n"/>
      <c r="U95" s="16" t="n"/>
      <c r="V95" s="16" t="n"/>
      <c r="W95" s="16" t="n"/>
      <c r="X95" s="16" t="n"/>
      <c r="Y95" s="16" t="n"/>
      <c r="Z95" s="16" t="n"/>
    </row>
    <row r="96" ht="12.75" customHeight="1" s="588">
      <c r="A96" s="72" t="n"/>
      <c r="B96" s="358" t="n"/>
      <c r="C96" s="358" t="n"/>
      <c r="D96" s="358" t="n"/>
      <c r="E96" s="358" t="n"/>
      <c r="F96" s="358" t="n"/>
      <c r="G96" s="358" t="n"/>
      <c r="H96" s="358" t="n"/>
      <c r="I96" s="358" t="n"/>
      <c r="J96" s="358" t="n"/>
      <c r="K96" s="1" t="n"/>
      <c r="L96" s="1" t="n"/>
      <c r="M96" s="1" t="n"/>
      <c r="N96" s="1" t="n"/>
      <c r="O96" s="1" t="n"/>
      <c r="P96" s="1" t="n"/>
      <c r="Q96" s="16" t="n"/>
      <c r="R96" s="16" t="n"/>
      <c r="S96" s="16" t="n"/>
      <c r="T96" s="16" t="n"/>
      <c r="U96" s="16" t="n"/>
      <c r="V96" s="16" t="n"/>
      <c r="W96" s="16" t="n"/>
      <c r="X96" s="16" t="n"/>
      <c r="Y96" s="16" t="n"/>
      <c r="Z96" s="16" t="n"/>
    </row>
    <row r="97" ht="12.75" customHeight="1" s="588">
      <c r="A97" s="75" t="n"/>
      <c r="B97" s="358" t="n"/>
      <c r="C97" s="83" t="n"/>
      <c r="D97" s="363" t="inlineStr">
        <is>
          <t>Mes 13</t>
        </is>
      </c>
      <c r="E97" s="364" t="inlineStr">
        <is>
          <t>Mes 14</t>
        </is>
      </c>
      <c r="F97" s="364" t="inlineStr">
        <is>
          <t>Mes 15</t>
        </is>
      </c>
      <c r="G97" s="364" t="inlineStr">
        <is>
          <t>Mes 16</t>
        </is>
      </c>
      <c r="H97" s="364" t="inlineStr">
        <is>
          <t>Mes 17</t>
        </is>
      </c>
      <c r="I97" s="364" t="inlineStr">
        <is>
          <t>Mes 18</t>
        </is>
      </c>
      <c r="J97" s="364" t="inlineStr">
        <is>
          <t>Mes 19</t>
        </is>
      </c>
      <c r="K97" s="364" t="inlineStr">
        <is>
          <t>Mes 20</t>
        </is>
      </c>
      <c r="L97" s="364" t="inlineStr">
        <is>
          <t>Mes 21</t>
        </is>
      </c>
      <c r="M97" s="364" t="inlineStr">
        <is>
          <t>Mes 22</t>
        </is>
      </c>
      <c r="N97" s="364" t="inlineStr">
        <is>
          <t>Mes 23</t>
        </is>
      </c>
      <c r="O97" s="308" t="inlineStr">
        <is>
          <t>Mes 24</t>
        </is>
      </c>
      <c r="P97" s="1" t="n"/>
      <c r="Q97" s="16" t="n"/>
      <c r="R97" s="16" t="n"/>
      <c r="S97" s="16" t="n"/>
      <c r="T97" s="16" t="n"/>
      <c r="U97" s="16" t="n"/>
      <c r="V97" s="16" t="n"/>
      <c r="W97" s="16" t="n"/>
      <c r="X97" s="16" t="n"/>
      <c r="Y97" s="16" t="n"/>
      <c r="Z97" s="16" t="n"/>
    </row>
    <row r="98" ht="12.75" customHeight="1" s="588">
      <c r="A98" s="356" t="n"/>
      <c r="B98" s="358" t="n"/>
      <c r="C98" s="72" t="inlineStr">
        <is>
          <t>Por Intereses</t>
        </is>
      </c>
      <c r="D98" s="365">
        <f>$D$80*O94/12</f>
        <v/>
      </c>
      <c r="E98" s="365">
        <f>$D$80*D100/12</f>
        <v/>
      </c>
      <c r="F98" s="365">
        <f>$D$80*E100/12</f>
        <v/>
      </c>
      <c r="G98" s="365">
        <f>$D$80*F100/12</f>
        <v/>
      </c>
      <c r="H98" s="365">
        <f>$D$80*G100/12</f>
        <v/>
      </c>
      <c r="I98" s="365">
        <f>$D$80*H100/12</f>
        <v/>
      </c>
      <c r="J98" s="365">
        <f>$D$80*I100/12</f>
        <v/>
      </c>
      <c r="K98" s="365">
        <f>$D$80*J100/12</f>
        <v/>
      </c>
      <c r="L98" s="365">
        <f>$D$80*K100/12</f>
        <v/>
      </c>
      <c r="M98" s="365">
        <f>$D$80*L100/12</f>
        <v/>
      </c>
      <c r="N98" s="365">
        <f>$D$80*M100/12</f>
        <v/>
      </c>
      <c r="O98" s="365">
        <f>$D$80*N100/12</f>
        <v/>
      </c>
      <c r="P98" s="1" t="n"/>
      <c r="Q98" s="16" t="n"/>
      <c r="R98" s="16" t="n"/>
      <c r="S98" s="16" t="n"/>
      <c r="T98" s="16" t="n"/>
      <c r="U98" s="16" t="n"/>
      <c r="V98" s="16" t="n"/>
      <c r="W98" s="16" t="n"/>
      <c r="X98" s="16" t="n"/>
      <c r="Y98" s="16" t="n"/>
      <c r="Z98" s="16" t="n"/>
    </row>
    <row r="99" ht="12.75" customHeight="1" s="588">
      <c r="A99" s="72" t="n"/>
      <c r="B99" s="358" t="n"/>
      <c r="C99" s="72" t="inlineStr">
        <is>
          <t>Por Capital</t>
        </is>
      </c>
      <c r="D99" s="365">
        <f>$D$82-D98</f>
        <v/>
      </c>
      <c r="E99" s="365">
        <f>$D$82-E98</f>
        <v/>
      </c>
      <c r="F99" s="365">
        <f>$D$82-F98</f>
        <v/>
      </c>
      <c r="G99" s="365">
        <f>$D$82-G98</f>
        <v/>
      </c>
      <c r="H99" s="365">
        <f>$D$82-H98</f>
        <v/>
      </c>
      <c r="I99" s="365">
        <f>$D$82-I98</f>
        <v/>
      </c>
      <c r="J99" s="365">
        <f>$D$82-J98</f>
        <v/>
      </c>
      <c r="K99" s="365">
        <f>$D$82-K98</f>
        <v/>
      </c>
      <c r="L99" s="365">
        <f>$D$82-L98</f>
        <v/>
      </c>
      <c r="M99" s="365">
        <f>$D$82-M98</f>
        <v/>
      </c>
      <c r="N99" s="365">
        <f>$D$82-N98</f>
        <v/>
      </c>
      <c r="O99" s="365">
        <f>$D$82-O98</f>
        <v/>
      </c>
      <c r="P99" s="1" t="n"/>
      <c r="Q99" s="16" t="n"/>
      <c r="R99" s="16" t="n"/>
      <c r="S99" s="16" t="n"/>
      <c r="T99" s="16" t="n"/>
      <c r="U99" s="16" t="n"/>
      <c r="V99" s="16" t="n"/>
      <c r="W99" s="16" t="n"/>
      <c r="X99" s="16" t="n"/>
      <c r="Y99" s="16" t="n"/>
      <c r="Z99" s="16" t="n"/>
    </row>
    <row r="100" ht="12.75" customHeight="1" s="588">
      <c r="A100" s="72" t="n"/>
      <c r="B100" s="83" t="n"/>
      <c r="C100" s="72" t="inlineStr">
        <is>
          <t>Nuevo Capital Pendiente</t>
        </is>
      </c>
      <c r="D100" s="365">
        <f>O94-D99</f>
        <v/>
      </c>
      <c r="E100" s="365">
        <f>D100-E99</f>
        <v/>
      </c>
      <c r="F100" s="365">
        <f>E100-F99</f>
        <v/>
      </c>
      <c r="G100" s="365">
        <f>F100-G99</f>
        <v/>
      </c>
      <c r="H100" s="365">
        <f>G100-H99</f>
        <v/>
      </c>
      <c r="I100" s="365">
        <f>H100-I99</f>
        <v/>
      </c>
      <c r="J100" s="365">
        <f>I100-J99</f>
        <v/>
      </c>
      <c r="K100" s="365">
        <f>J100-K99</f>
        <v/>
      </c>
      <c r="L100" s="365">
        <f>K100-L99</f>
        <v/>
      </c>
      <c r="M100" s="365">
        <f>L100-M99</f>
        <v/>
      </c>
      <c r="N100" s="365">
        <f>M100-N99</f>
        <v/>
      </c>
      <c r="O100" s="365">
        <f>N100-O99</f>
        <v/>
      </c>
      <c r="P100" s="1" t="n"/>
      <c r="Q100" s="16" t="n"/>
      <c r="R100" s="16" t="n"/>
      <c r="S100" s="16" t="n"/>
      <c r="T100" s="16" t="n"/>
      <c r="U100" s="16" t="n"/>
      <c r="V100" s="16" t="n"/>
      <c r="W100" s="16" t="n"/>
      <c r="X100" s="16" t="n"/>
      <c r="Y100" s="16" t="n"/>
      <c r="Z100" s="16" t="n"/>
    </row>
    <row r="101" ht="12.75" customHeight="1" s="588">
      <c r="A101" s="72" t="n"/>
      <c r="B101" s="358" t="n"/>
      <c r="C101" s="358" t="n"/>
      <c r="D101" s="358" t="n"/>
      <c r="E101" s="358" t="n"/>
      <c r="F101" s="358" t="n"/>
      <c r="G101" s="358" t="n"/>
      <c r="H101" s="358" t="n"/>
      <c r="I101" s="358" t="n"/>
      <c r="J101" s="358" t="n"/>
      <c r="K101" s="1" t="n"/>
      <c r="L101" s="1" t="n"/>
      <c r="M101" s="1" t="n"/>
      <c r="N101" s="1" t="n"/>
      <c r="O101" s="1" t="n"/>
      <c r="P101" s="1" t="n"/>
      <c r="Q101" s="16" t="n"/>
      <c r="R101" s="16" t="n"/>
      <c r="S101" s="16" t="n"/>
      <c r="T101" s="16" t="n"/>
      <c r="U101" s="16" t="n"/>
      <c r="V101" s="16" t="n"/>
      <c r="W101" s="16" t="n"/>
      <c r="X101" s="16" t="n"/>
      <c r="Y101" s="16" t="n"/>
      <c r="Z101" s="16" t="n"/>
    </row>
    <row r="102" ht="12.75" customHeight="1" s="588">
      <c r="A102" s="356" t="n"/>
      <c r="B102" s="356" t="n"/>
      <c r="C102" s="356" t="n"/>
      <c r="D102" s="356" t="n"/>
      <c r="E102" s="356" t="n"/>
      <c r="F102" s="356" t="n"/>
      <c r="G102" s="356" t="n"/>
      <c r="H102" s="356" t="n"/>
      <c r="I102" s="356" t="n"/>
      <c r="J102" s="356" t="n"/>
      <c r="K102" s="1" t="n"/>
      <c r="L102" s="1" t="n"/>
      <c r="M102" s="1" t="n"/>
      <c r="N102" s="1" t="n"/>
      <c r="O102" s="1" t="n"/>
      <c r="P102" s="1" t="n"/>
      <c r="Q102" s="16" t="n"/>
      <c r="R102" s="16" t="n"/>
      <c r="S102" s="16" t="n"/>
      <c r="T102" s="16" t="n"/>
      <c r="U102" s="16" t="n"/>
      <c r="V102" s="16" t="n"/>
      <c r="W102" s="16" t="n"/>
      <c r="X102" s="16" t="n"/>
      <c r="Y102" s="16" t="n"/>
      <c r="Z102" s="16" t="n"/>
    </row>
    <row r="103" ht="12.75" customHeight="1" s="588">
      <c r="A103" s="356" t="n"/>
      <c r="B103" s="356" t="n"/>
      <c r="C103" s="356" t="n"/>
      <c r="D103" s="356" t="n"/>
      <c r="E103" s="356" t="n"/>
      <c r="F103" s="356" t="n"/>
      <c r="G103" s="356" t="n"/>
      <c r="H103" s="356" t="n"/>
      <c r="I103" s="356" t="n"/>
      <c r="J103" s="356" t="n"/>
      <c r="K103" s="1" t="n"/>
      <c r="L103" s="1" t="n"/>
      <c r="M103" s="1" t="n"/>
      <c r="N103" s="1" t="n"/>
      <c r="O103" s="1" t="n"/>
      <c r="P103" s="1" t="n"/>
      <c r="Q103" s="16" t="n"/>
      <c r="R103" s="16" t="n"/>
      <c r="S103" s="16" t="n"/>
      <c r="T103" s="16" t="n"/>
      <c r="U103" s="16" t="n"/>
      <c r="V103" s="16" t="n"/>
      <c r="W103" s="16" t="n"/>
      <c r="X103" s="16" t="n"/>
      <c r="Y103" s="16" t="n"/>
      <c r="Z103" s="16" t="n"/>
    </row>
    <row r="104" ht="12.75" customHeight="1" s="588">
      <c r="A104" s="356" t="n"/>
      <c r="B104" s="356" t="n"/>
      <c r="C104" s="356" t="n"/>
      <c r="D104" s="356" t="n"/>
      <c r="E104" s="356" t="n"/>
      <c r="F104" s="356" t="n"/>
      <c r="G104" s="356" t="n"/>
      <c r="H104" s="356" t="n"/>
      <c r="I104" s="356" t="n"/>
      <c r="J104" s="356" t="n"/>
      <c r="K104" s="1" t="n"/>
      <c r="L104" s="1" t="n"/>
      <c r="M104" s="1" t="n"/>
      <c r="N104" s="1" t="n"/>
      <c r="O104" s="1" t="n"/>
      <c r="P104" s="1" t="n"/>
      <c r="Q104" s="16" t="n"/>
      <c r="R104" s="16" t="n"/>
      <c r="S104" s="16" t="n"/>
      <c r="T104" s="16" t="n"/>
      <c r="U104" s="16" t="n"/>
      <c r="V104" s="16" t="n"/>
      <c r="W104" s="16" t="n"/>
      <c r="X104" s="16" t="n"/>
      <c r="Y104" s="16" t="n"/>
      <c r="Z104" s="16" t="n"/>
    </row>
    <row r="105" ht="12.75" customHeight="1" s="588">
      <c r="A105" s="8" t="inlineStr">
        <is>
          <t>¿CUÁNTO Y CUÁNDO?</t>
        </is>
      </c>
      <c r="B105" s="1" t="n"/>
      <c r="C105" s="1" t="n"/>
      <c r="D105" s="1" t="n"/>
      <c r="E105" s="1" t="n"/>
      <c r="F105" s="1" t="n"/>
      <c r="G105" s="1" t="n"/>
      <c r="H105" s="1" t="n"/>
      <c r="I105" s="1" t="n"/>
      <c r="J105" s="185" t="n"/>
      <c r="K105" s="185" t="n"/>
      <c r="L105" s="1" t="n"/>
      <c r="M105" s="1" t="n"/>
      <c r="N105" s="1" t="n"/>
      <c r="O105" s="1" t="n"/>
      <c r="P105" s="185" t="inlineStr">
        <is>
          <t>Plan Financiero</t>
        </is>
      </c>
      <c r="Q105" s="16" t="n"/>
      <c r="R105" s="16" t="n"/>
      <c r="S105" s="16" t="n"/>
      <c r="T105" s="16" t="n"/>
      <c r="U105" s="16" t="n"/>
      <c r="V105" s="16" t="n"/>
      <c r="W105" s="16" t="n"/>
      <c r="X105" s="16" t="n"/>
      <c r="Y105" s="16" t="n"/>
      <c r="Z105" s="16" t="n"/>
    </row>
    <row r="106" ht="12.75" customHeight="1" s="588">
      <c r="A106" s="356" t="n"/>
      <c r="B106" s="356" t="n"/>
      <c r="C106" s="356" t="n"/>
      <c r="D106" s="356" t="n"/>
      <c r="E106" s="356" t="n"/>
      <c r="F106" s="356" t="n"/>
      <c r="G106" s="356" t="n"/>
      <c r="H106" s="356" t="n"/>
      <c r="I106" s="356" t="n"/>
      <c r="J106" s="356" t="n"/>
      <c r="K106" s="1" t="n"/>
      <c r="L106" s="1" t="n"/>
      <c r="M106" s="1" t="n"/>
      <c r="N106" s="1" t="n"/>
      <c r="O106" s="1" t="n"/>
      <c r="P106" s="1" t="n"/>
      <c r="Q106" s="16" t="n"/>
      <c r="R106" s="16" t="n"/>
      <c r="S106" s="16" t="n"/>
      <c r="T106" s="16" t="n"/>
      <c r="U106" s="16" t="n"/>
      <c r="V106" s="16" t="n"/>
      <c r="W106" s="16" t="n"/>
      <c r="X106" s="16" t="n"/>
      <c r="Y106" s="16" t="n"/>
      <c r="Z106" s="16" t="n"/>
    </row>
    <row r="107" ht="12.75" customHeight="1" s="588">
      <c r="A107" s="356" t="n"/>
      <c r="B107" s="356" t="n"/>
      <c r="C107" s="169" t="n"/>
      <c r="D107" s="1" t="n"/>
      <c r="E107" s="1" t="n"/>
      <c r="F107" s="1" t="n"/>
      <c r="G107" s="1" t="n"/>
      <c r="H107" s="356" t="n"/>
      <c r="I107" s="356" t="n"/>
      <c r="J107" s="356" t="n"/>
      <c r="K107" s="1" t="n"/>
      <c r="L107" s="1" t="n"/>
      <c r="M107" s="1" t="n"/>
      <c r="N107" s="1" t="n"/>
      <c r="O107" s="1" t="n"/>
      <c r="P107" s="1" t="n"/>
      <c r="Q107" s="16" t="n"/>
      <c r="R107" s="16" t="n"/>
      <c r="S107" s="16" t="n"/>
      <c r="T107" s="16" t="n"/>
      <c r="U107" s="16" t="n"/>
      <c r="V107" s="16" t="n"/>
      <c r="W107" s="16" t="n"/>
      <c r="X107" s="16" t="n"/>
      <c r="Y107" s="16" t="n"/>
      <c r="Z107" s="16" t="n"/>
    </row>
    <row r="108" ht="12.75" customHeight="1" s="588">
      <c r="A108" s="356" t="n"/>
      <c r="B108" s="356" t="n"/>
      <c r="C108" s="356" t="n"/>
      <c r="D108" s="356" t="n"/>
      <c r="E108" s="356" t="n"/>
      <c r="F108" s="366" t="n"/>
      <c r="G108" s="769" t="inlineStr">
        <is>
          <t>VENTAS Y MÁRGENES</t>
        </is>
      </c>
      <c r="H108" s="649" t="n"/>
      <c r="I108" s="649" t="n"/>
      <c r="J108" s="649" t="n"/>
      <c r="K108" s="649" t="n"/>
      <c r="L108" s="369" t="n"/>
      <c r="M108" s="1" t="n"/>
      <c r="N108" s="1" t="n"/>
      <c r="O108" s="1" t="n"/>
      <c r="P108" s="1" t="n"/>
      <c r="Q108" s="16" t="n"/>
      <c r="R108" s="16" t="n"/>
      <c r="S108" s="16" t="n"/>
      <c r="T108" s="16" t="n"/>
      <c r="U108" s="16" t="n"/>
      <c r="V108" s="16" t="n"/>
      <c r="W108" s="16" t="n"/>
      <c r="X108" s="16" t="n"/>
      <c r="Y108" s="16" t="n"/>
      <c r="Z108" s="16" t="n"/>
    </row>
    <row r="109" ht="12.75" customHeight="1" s="588">
      <c r="A109" s="356" t="n"/>
      <c r="B109" s="356" t="n"/>
      <c r="C109" s="356" t="n"/>
      <c r="D109" s="356" t="n"/>
      <c r="E109" s="356" t="n"/>
      <c r="F109" s="356" t="n"/>
      <c r="G109" s="356" t="n"/>
      <c r="H109" s="356" t="n"/>
      <c r="I109" s="356" t="n"/>
      <c r="J109" s="356" t="n"/>
      <c r="K109" s="370" t="n"/>
      <c r="L109" s="1" t="n"/>
      <c r="M109" s="1" t="n"/>
      <c r="N109" s="1" t="n"/>
      <c r="O109" s="1" t="n"/>
      <c r="P109" s="1" t="n"/>
      <c r="Q109" s="16" t="n"/>
      <c r="R109" s="16" t="n"/>
      <c r="S109" s="16" t="n"/>
      <c r="T109" s="16" t="n"/>
      <c r="U109" s="16" t="n"/>
      <c r="V109" s="16" t="n"/>
      <c r="W109" s="16" t="n"/>
      <c r="X109" s="16" t="n"/>
      <c r="Y109" s="16" t="n"/>
      <c r="Z109" s="16" t="n"/>
    </row>
    <row r="110" ht="12.75" customHeight="1" s="588">
      <c r="A110" s="356" t="n"/>
      <c r="B110" s="356" t="n"/>
      <c r="C110" s="356" t="n"/>
      <c r="D110" s="356" t="n"/>
      <c r="E110" s="356" t="n"/>
      <c r="F110" s="356" t="n"/>
      <c r="G110" s="356" t="n"/>
      <c r="H110" s="356" t="n"/>
      <c r="I110" s="370">
        <f>IF(SUM(I112:I116)&lt;100%,"ERROR: Ventas&lt;100% de las Ventas",IF(SUM(I112:I116)&gt;100%,"ERROR: Ventas&gt;100% de las Ventas",""))</f>
        <v/>
      </c>
      <c r="J110" s="371" t="n"/>
      <c r="K110" s="371" t="n"/>
      <c r="L110" s="770" t="n"/>
      <c r="M110" s="771" t="inlineStr">
        <is>
          <t>IVA Ventas</t>
        </is>
      </c>
      <c r="N110" s="770" t="n"/>
      <c r="O110" s="771" t="inlineStr">
        <is>
          <t>IVA Compras</t>
        </is>
      </c>
      <c r="P110" s="1" t="n"/>
      <c r="Q110" s="16" t="n"/>
      <c r="R110" s="16" t="n"/>
      <c r="S110" s="16" t="n"/>
      <c r="T110" s="16" t="n"/>
      <c r="U110" s="16" t="n"/>
      <c r="V110" s="16" t="n"/>
      <c r="W110" s="16" t="n"/>
      <c r="X110" s="16" t="n"/>
      <c r="Y110" s="16" t="n"/>
      <c r="Z110" s="16" t="n"/>
    </row>
    <row r="111" ht="12.75" customHeight="1" s="588">
      <c r="A111" s="356" t="n"/>
      <c r="B111" s="356" t="n"/>
      <c r="C111" s="356" t="n"/>
      <c r="D111" s="356" t="n"/>
      <c r="E111" s="356" t="n"/>
      <c r="F111" s="356" t="n"/>
      <c r="G111" s="356" t="n"/>
      <c r="H111" s="374" t="inlineStr">
        <is>
          <t>MARGEN</t>
        </is>
      </c>
      <c r="I111" s="374" t="inlineStr">
        <is>
          <t>% VENTAS</t>
        </is>
      </c>
      <c r="J111" s="375" t="inlineStr">
        <is>
          <t>Contribución</t>
        </is>
      </c>
      <c r="K111" s="376" t="n"/>
      <c r="M111" s="712" t="n"/>
      <c r="O111" s="712" t="n"/>
      <c r="P111" s="1" t="n"/>
      <c r="Q111" s="16" t="n"/>
      <c r="R111" s="16" t="n"/>
      <c r="S111" s="16" t="n"/>
      <c r="T111" s="16" t="n"/>
      <c r="U111" s="16" t="n"/>
      <c r="V111" s="16" t="n"/>
      <c r="W111" s="16" t="n"/>
      <c r="X111" s="16" t="n"/>
      <c r="Y111" s="16" t="n"/>
      <c r="Z111" s="16" t="n"/>
    </row>
    <row r="112" ht="12.75" customHeight="1" s="588">
      <c r="A112" s="356" t="n"/>
      <c r="B112" s="356" t="n"/>
      <c r="C112" s="356" t="n"/>
      <c r="D112" s="377">
        <f>'EL QUÉ'!A8</f>
        <v/>
      </c>
      <c r="E112" s="378" t="n"/>
      <c r="F112" s="378" t="n"/>
      <c r="G112" s="379" t="n"/>
      <c r="H112" s="380">
        <f>'CÓMO'!I78</f>
        <v/>
      </c>
      <c r="I112" s="381" t="n">
        <v>0.3</v>
      </c>
      <c r="J112" s="380">
        <f>H112*I112</f>
        <v/>
      </c>
      <c r="K112" s="376" t="n"/>
      <c r="L112" s="376" t="n"/>
      <c r="M112" s="382" t="n">
        <v>0</v>
      </c>
      <c r="N112" s="1" t="n"/>
      <c r="O112" s="383" t="n">
        <v>0</v>
      </c>
      <c r="P112" s="1" t="n"/>
      <c r="Q112" s="16" t="n"/>
      <c r="R112" s="16" t="n"/>
      <c r="S112" s="16" t="n"/>
      <c r="T112" s="16" t="n"/>
      <c r="U112" s="16" t="n"/>
      <c r="V112" s="16" t="n"/>
      <c r="W112" s="16" t="n"/>
      <c r="X112" s="16" t="n"/>
      <c r="Y112" s="16" t="n"/>
      <c r="Z112" s="16" t="n"/>
    </row>
    <row r="113" ht="12.75" customHeight="1" s="588">
      <c r="A113" s="356" t="n"/>
      <c r="B113" s="356" t="n"/>
      <c r="C113" s="356" t="n"/>
      <c r="D113" s="384">
        <f>IF('EL QUÉ'!A13="","",'EL QUÉ'!A13)</f>
        <v/>
      </c>
      <c r="E113" s="356" t="n"/>
      <c r="F113" s="356" t="n"/>
      <c r="G113" s="385" t="n"/>
      <c r="H113" s="386">
        <f>'CÓMO'!I83</f>
        <v/>
      </c>
      <c r="I113" s="387" t="n">
        <v>0.25</v>
      </c>
      <c r="J113" s="386">
        <f>IF(H113="","",H113*I113)</f>
        <v/>
      </c>
      <c r="K113" s="376" t="n"/>
      <c r="L113" s="376" t="n"/>
      <c r="M113" s="383" t="n">
        <v>0</v>
      </c>
      <c r="N113" s="1" t="n"/>
      <c r="O113" s="383" t="n">
        <v>0</v>
      </c>
      <c r="P113" s="1" t="n"/>
      <c r="Q113" s="16" t="n"/>
      <c r="R113" s="16" t="n"/>
      <c r="S113" s="16" t="n"/>
      <c r="T113" s="16" t="n"/>
      <c r="U113" s="16" t="n"/>
      <c r="V113" s="16" t="n"/>
      <c r="W113" s="16" t="n"/>
      <c r="X113" s="16" t="n"/>
      <c r="Y113" s="16" t="n"/>
      <c r="Z113" s="16" t="n"/>
    </row>
    <row r="114" ht="12.75" customHeight="1" s="588">
      <c r="A114" s="356" t="n"/>
      <c r="B114" s="356" t="n"/>
      <c r="C114" s="356" t="n"/>
      <c r="D114" s="384">
        <f>IF('EL QUÉ'!A18="","",'EL QUÉ'!A18)</f>
        <v/>
      </c>
      <c r="E114" s="356" t="n"/>
      <c r="F114" s="356" t="n"/>
      <c r="G114" s="385" t="n"/>
      <c r="H114" s="386">
        <f>'CÓMO'!I88</f>
        <v/>
      </c>
      <c r="I114" s="387" t="n">
        <v>0.18</v>
      </c>
      <c r="J114" s="386">
        <f>IF(H114="","",H114*I114)</f>
        <v/>
      </c>
      <c r="K114" s="376" t="n"/>
      <c r="L114" s="376" t="n"/>
      <c r="M114" s="383" t="n">
        <v>0</v>
      </c>
      <c r="N114" s="1" t="n"/>
      <c r="O114" s="383" t="n">
        <v>0</v>
      </c>
      <c r="P114" s="1" t="n"/>
      <c r="Q114" s="16" t="n"/>
      <c r="R114" s="16" t="n"/>
      <c r="S114" s="16" t="n"/>
      <c r="T114" s="16" t="n"/>
      <c r="U114" s="16" t="n"/>
      <c r="V114" s="16" t="n"/>
      <c r="W114" s="16" t="n"/>
      <c r="X114" s="16" t="n"/>
      <c r="Y114" s="16" t="n"/>
      <c r="Z114" s="16" t="n"/>
    </row>
    <row r="115" ht="12.75" customHeight="1" s="588">
      <c r="A115" s="356" t="n"/>
      <c r="B115" s="356" t="n"/>
      <c r="C115" s="356" t="n"/>
      <c r="D115" s="384">
        <f>IF('EL QUÉ'!A23="","",'EL QUÉ'!A23)</f>
        <v/>
      </c>
      <c r="E115" s="356" t="n"/>
      <c r="F115" s="356" t="n"/>
      <c r="G115" s="385" t="n"/>
      <c r="H115" s="386">
        <f>'CÓMO'!I93</f>
        <v/>
      </c>
      <c r="I115" s="387" t="n">
        <v>0.15</v>
      </c>
      <c r="J115" s="386">
        <f>IF(H115="","",H115*I115)</f>
        <v/>
      </c>
      <c r="K115" s="376" t="n"/>
      <c r="L115" s="376" t="n"/>
      <c r="M115" s="383" t="n">
        <v>0</v>
      </c>
      <c r="N115" s="1" t="n"/>
      <c r="O115" s="383" t="n">
        <v>0</v>
      </c>
      <c r="P115" s="1" t="n"/>
      <c r="Q115" s="16" t="n"/>
      <c r="R115" s="16" t="n"/>
      <c r="S115" s="16" t="n"/>
      <c r="T115" s="16" t="n"/>
      <c r="U115" s="16" t="n"/>
      <c r="V115" s="16" t="n"/>
      <c r="W115" s="16" t="n"/>
      <c r="X115" s="16" t="n"/>
      <c r="Y115" s="16" t="n"/>
      <c r="Z115" s="16" t="n"/>
    </row>
    <row r="116" ht="12.75" customHeight="1" s="588">
      <c r="A116" s="356" t="n"/>
      <c r="B116" s="356" t="n"/>
      <c r="C116" s="356" t="n"/>
      <c r="D116" s="388">
        <f>IF('EL QUÉ'!A28="","",'EL QUÉ'!A28)</f>
        <v/>
      </c>
      <c r="E116" s="389" t="n"/>
      <c r="F116" s="389" t="n"/>
      <c r="G116" s="390" t="n"/>
      <c r="H116" s="391">
        <f>'CÓMO'!I98</f>
        <v/>
      </c>
      <c r="I116" s="392" t="n">
        <v>0.12</v>
      </c>
      <c r="J116" s="391">
        <f>IF(H116="","",H116*I116)</f>
        <v/>
      </c>
      <c r="K116" s="393" t="n"/>
      <c r="L116" s="394" t="n"/>
      <c r="M116" s="395" t="n">
        <v>0</v>
      </c>
      <c r="N116" s="1" t="n"/>
      <c r="O116" s="395" t="n">
        <v>0</v>
      </c>
      <c r="P116" s="1" t="n"/>
      <c r="Q116" s="16" t="n"/>
      <c r="R116" s="16" t="n"/>
      <c r="S116" s="16" t="n"/>
      <c r="T116" s="16" t="n"/>
      <c r="U116" s="16" t="n"/>
      <c r="V116" s="16" t="n"/>
      <c r="W116" s="16" t="n"/>
      <c r="X116" s="16" t="n"/>
      <c r="Y116" s="16" t="n"/>
      <c r="Z116" s="16" t="n"/>
    </row>
    <row r="117" ht="12.75" customHeight="1" s="588">
      <c r="A117" s="356" t="n"/>
      <c r="B117" s="356" t="n"/>
      <c r="C117" s="356" t="n"/>
      <c r="D117" s="356" t="n"/>
      <c r="E117" s="356" t="n"/>
      <c r="F117" s="356" t="n"/>
      <c r="G117" s="356" t="n"/>
      <c r="H117" s="772" t="inlineStr">
        <is>
          <t>MARGEN BRUTO MEDIO:</t>
        </is>
      </c>
      <c r="I117" s="593" t="n"/>
      <c r="J117" s="345">
        <f>SUM(J112:J116)</f>
        <v/>
      </c>
      <c r="K117" s="72" t="inlineStr">
        <is>
          <t>PROMEDIO:</t>
        </is>
      </c>
      <c r="M117" s="345">
        <f>I112*M112+I113*M113+I114*M114+I115*M115+I116*M116</f>
        <v/>
      </c>
      <c r="N117" s="1" t="n"/>
      <c r="O117" s="345">
        <f>I112*O112+I113*O113+I114*O114+I115*O115+I116*O116</f>
        <v/>
      </c>
      <c r="P117" s="1" t="n"/>
      <c r="Q117" s="16" t="n"/>
      <c r="R117" s="16" t="n"/>
      <c r="S117" s="16" t="n"/>
      <c r="T117" s="16" t="n"/>
      <c r="U117" s="16" t="n"/>
      <c r="V117" s="16" t="n"/>
      <c r="W117" s="16" t="n"/>
      <c r="X117" s="16" t="n"/>
      <c r="Y117" s="16" t="n"/>
      <c r="Z117" s="16" t="n"/>
    </row>
    <row r="118" ht="12.75" customHeight="1" s="588">
      <c r="A118" s="356" t="n"/>
      <c r="B118" s="356" t="n"/>
      <c r="C118" s="356" t="n"/>
      <c r="D118" s="356" t="n"/>
      <c r="E118" s="356" t="n"/>
      <c r="F118" s="356" t="n"/>
      <c r="G118" s="356" t="n"/>
      <c r="H118" s="356" t="n"/>
      <c r="I118" s="356" t="n"/>
      <c r="J118" s="356" t="n"/>
      <c r="K118" s="1" t="n"/>
      <c r="L118" s="1" t="n"/>
      <c r="M118" s="1" t="n"/>
      <c r="N118" s="1" t="n"/>
      <c r="O118" s="1" t="n"/>
      <c r="P118" s="1" t="n"/>
      <c r="Q118" s="16" t="n"/>
      <c r="R118" s="16" t="n"/>
      <c r="S118" s="16" t="n"/>
      <c r="T118" s="16" t="n"/>
      <c r="U118" s="16" t="n"/>
      <c r="V118" s="16" t="n"/>
      <c r="W118" s="16" t="n"/>
      <c r="X118" s="16" t="n"/>
      <c r="Y118" s="16" t="n"/>
      <c r="Z118" s="16" t="n"/>
    </row>
    <row r="119" ht="12.75" customHeight="1" s="588">
      <c r="A119" s="356" t="n"/>
      <c r="B119" s="356" t="n"/>
      <c r="C119" s="356" t="n"/>
      <c r="D119" s="356" t="n"/>
      <c r="E119" s="356" t="n"/>
      <c r="F119" s="356" t="n"/>
      <c r="G119" s="356" t="n"/>
      <c r="H119" s="356" t="n"/>
      <c r="I119" s="356" t="n"/>
      <c r="J119" s="356" t="n"/>
      <c r="K119" s="1" t="n"/>
      <c r="L119" s="1" t="n"/>
      <c r="M119" s="1" t="n"/>
      <c r="N119" s="1" t="n"/>
      <c r="O119" s="1" t="n"/>
      <c r="P119" s="1" t="n"/>
      <c r="Q119" s="16" t="n"/>
      <c r="R119" s="16" t="n"/>
      <c r="S119" s="16" t="n"/>
      <c r="T119" s="16" t="n"/>
      <c r="U119" s="16" t="n"/>
      <c r="V119" s="16" t="n"/>
      <c r="W119" s="16" t="n"/>
      <c r="X119" s="16" t="n"/>
      <c r="Y119" s="16" t="n"/>
      <c r="Z119" s="16" t="n"/>
    </row>
    <row r="120" ht="12.75" customHeight="1" s="588">
      <c r="A120" s="356" t="n"/>
      <c r="B120" s="356" t="n"/>
      <c r="C120" s="773" t="inlineStr">
        <is>
          <t>VENTAS</t>
        </is>
      </c>
      <c r="D120" s="610" t="n"/>
      <c r="E120" s="610" t="n"/>
      <c r="F120" s="610" t="n"/>
      <c r="G120" s="610" t="n"/>
      <c r="H120" s="610" t="n"/>
      <c r="I120" s="610" t="n"/>
      <c r="J120" s="610" t="n"/>
      <c r="K120" s="610" t="n"/>
      <c r="L120" s="610" t="n"/>
      <c r="M120" s="610" t="n"/>
      <c r="N120" s="610" t="n"/>
      <c r="O120" s="611" t="n"/>
      <c r="P120" s="1" t="n"/>
      <c r="Q120" s="16" t="n"/>
      <c r="R120" s="16" t="n"/>
      <c r="S120" s="16" t="n"/>
      <c r="T120" s="16" t="n"/>
      <c r="U120" s="16" t="n"/>
      <c r="V120" s="16" t="n"/>
      <c r="W120" s="16" t="n"/>
      <c r="X120" s="16" t="n"/>
      <c r="Y120" s="16" t="n"/>
      <c r="Z120" s="16" t="n"/>
    </row>
    <row r="121" ht="12.75" customHeight="1" s="588">
      <c r="A121" s="356" t="n"/>
      <c r="B121" s="356" t="n"/>
      <c r="C121" s="46" t="n"/>
      <c r="D121" s="1" t="n"/>
      <c r="E121" s="1" t="n"/>
      <c r="F121" s="1" t="n"/>
      <c r="G121" s="1" t="n"/>
      <c r="H121" s="398" t="n"/>
      <c r="I121" s="303" t="n"/>
      <c r="J121" s="303" t="inlineStr">
        <is>
          <t>TODOS LOS DATOS SON</t>
        </is>
      </c>
      <c r="K121" s="399">
        <f>IF(G13=0%,"CON IVA","SIN IVA")</f>
        <v/>
      </c>
      <c r="L121" s="1" t="n"/>
      <c r="M121" s="1" t="n"/>
      <c r="N121" s="1" t="n"/>
      <c r="O121" s="19" t="n"/>
      <c r="P121" s="1" t="n"/>
      <c r="Q121" s="16" t="n"/>
      <c r="R121" s="16" t="n"/>
      <c r="S121" s="16" t="n"/>
      <c r="T121" s="16" t="n"/>
      <c r="U121" s="16" t="n"/>
      <c r="V121" s="16" t="n"/>
      <c r="W121" s="16" t="n"/>
      <c r="X121" s="16" t="n"/>
      <c r="Y121" s="16" t="n"/>
      <c r="Z121" s="16" t="n"/>
    </row>
    <row r="122" ht="12.75" customHeight="1" s="588">
      <c r="A122" s="356" t="n"/>
      <c r="B122" s="356" t="n"/>
      <c r="C122" s="400" t="inlineStr">
        <is>
          <t>AÑO 1</t>
        </is>
      </c>
      <c r="D122" s="401" t="n"/>
      <c r="E122" s="401" t="n"/>
      <c r="F122" s="401" t="n"/>
      <c r="G122" s="401" t="n"/>
      <c r="H122" s="401" t="n"/>
      <c r="I122" s="401" t="n"/>
      <c r="J122" s="401" t="n"/>
      <c r="K122" s="401" t="n"/>
      <c r="L122" s="401" t="n"/>
      <c r="M122" s="401" t="n"/>
      <c r="N122" s="401" t="n"/>
      <c r="O122" s="402" t="n"/>
      <c r="P122" s="1" t="n"/>
      <c r="Q122" s="16" t="n"/>
      <c r="R122" s="16" t="n"/>
      <c r="S122" s="16" t="n"/>
      <c r="T122" s="16" t="n"/>
      <c r="U122" s="16" t="n"/>
      <c r="V122" s="16" t="n"/>
      <c r="W122" s="16" t="n"/>
      <c r="X122" s="16" t="n"/>
      <c r="Y122" s="16" t="n"/>
      <c r="Z122" s="16" t="n"/>
    </row>
    <row r="123" ht="12.75" customHeight="1" s="588">
      <c r="A123" s="356" t="n"/>
      <c r="B123" s="356" t="n"/>
      <c r="C123" s="403" t="inlineStr">
        <is>
          <t>Mes 1</t>
        </is>
      </c>
      <c r="D123" s="371" t="inlineStr">
        <is>
          <t>Mes 2</t>
        </is>
      </c>
      <c r="E123" s="371" t="inlineStr">
        <is>
          <t>Mes 3</t>
        </is>
      </c>
      <c r="F123" s="371" t="inlineStr">
        <is>
          <t>Mes 4</t>
        </is>
      </c>
      <c r="G123" s="371" t="inlineStr">
        <is>
          <t>Mes 5</t>
        </is>
      </c>
      <c r="H123" s="371" t="inlineStr">
        <is>
          <t>Mes 6</t>
        </is>
      </c>
      <c r="I123" s="371" t="inlineStr">
        <is>
          <t>Mes 7</t>
        </is>
      </c>
      <c r="J123" s="371" t="inlineStr">
        <is>
          <t>Mes 8</t>
        </is>
      </c>
      <c r="K123" s="371" t="inlineStr">
        <is>
          <t>Mes 9</t>
        </is>
      </c>
      <c r="L123" s="371" t="inlineStr">
        <is>
          <t>Mes 10</t>
        </is>
      </c>
      <c r="M123" s="371" t="inlineStr">
        <is>
          <t>Mes 11</t>
        </is>
      </c>
      <c r="N123" s="371" t="inlineStr">
        <is>
          <t>Mes 12</t>
        </is>
      </c>
      <c r="O123" s="404" t="inlineStr">
        <is>
          <t>TOTAL A1</t>
        </is>
      </c>
      <c r="P123" s="1" t="n"/>
      <c r="Q123" s="16" t="n"/>
      <c r="R123" s="16" t="n"/>
      <c r="S123" s="16" t="n"/>
      <c r="T123" s="16" t="n"/>
      <c r="U123" s="16" t="n"/>
      <c r="V123" s="16" t="n"/>
      <c r="W123" s="16" t="n"/>
      <c r="X123" s="16" t="n"/>
      <c r="Y123" s="16" t="n"/>
      <c r="Z123" s="16" t="n"/>
    </row>
    <row r="124" ht="12.75" customHeight="1" s="588">
      <c r="A124" s="356" t="n"/>
      <c r="B124" s="356" t="n"/>
      <c r="C124" s="405">
        <f>IF($D$20=25%,$F$312/12,$F$313/12)</f>
        <v/>
      </c>
      <c r="D124" s="406">
        <f>IF($D$20=25%,$F$312/12,$F$313/12)</f>
        <v/>
      </c>
      <c r="E124" s="406">
        <f>IF($D$20=25%,$F$312/12,$F$313/12)</f>
        <v/>
      </c>
      <c r="F124" s="406">
        <f>IF($D$20=25%,$F$312/12,$F$313/12)</f>
        <v/>
      </c>
      <c r="G124" s="406">
        <f>IF($D$20=25%,$F$312/12,$F$313/12)</f>
        <v/>
      </c>
      <c r="H124" s="406">
        <f>IF($D$20=25%,$F$312/12,$F$313/12)</f>
        <v/>
      </c>
      <c r="I124" s="406">
        <f>IF($D$20=25%,$F$312/12,$F$313/12)</f>
        <v/>
      </c>
      <c r="J124" s="406">
        <f>IF($D$20=25%,$F$312/12,$F$313/12)</f>
        <v/>
      </c>
      <c r="K124" s="406">
        <f>IF($D$20=25%,$F$312/12,$F$313/12)</f>
        <v/>
      </c>
      <c r="L124" s="406">
        <f>IF($D$20=25%,$F$312/12,$F$313/12)</f>
        <v/>
      </c>
      <c r="M124" s="406">
        <f>IF($D$20=25%,$F$312/12,$F$313/12)</f>
        <v/>
      </c>
      <c r="N124" s="406">
        <f>IF($D$20=25%,$F$312/12,$F$313/12)</f>
        <v/>
      </c>
      <c r="O124" s="407">
        <f>SUM(C124:N124)</f>
        <v/>
      </c>
      <c r="P124" s="1" t="n"/>
      <c r="Q124" s="16" t="n"/>
      <c r="R124" s="16" t="n"/>
      <c r="S124" s="16" t="n"/>
      <c r="T124" s="16" t="n"/>
      <c r="U124" s="16" t="n"/>
      <c r="V124" s="16" t="n"/>
      <c r="W124" s="16" t="n"/>
      <c r="X124" s="16" t="n"/>
      <c r="Y124" s="16" t="n"/>
      <c r="Z124" s="16" t="n"/>
    </row>
    <row r="125" ht="12.75" customHeight="1" s="588">
      <c r="A125" s="356" t="n"/>
      <c r="B125" s="356" t="n"/>
      <c r="C125" s="408" t="n"/>
      <c r="D125" s="401" t="n"/>
      <c r="E125" s="401" t="n"/>
      <c r="F125" s="401" t="n"/>
      <c r="G125" s="401" t="n"/>
      <c r="H125" s="401" t="n"/>
      <c r="I125" s="401" t="n"/>
      <c r="J125" s="401" t="n"/>
      <c r="K125" s="401" t="n"/>
      <c r="L125" s="401" t="n"/>
      <c r="M125" s="401" t="n"/>
      <c r="N125" s="401" t="n"/>
      <c r="O125" s="402" t="n"/>
      <c r="P125" s="1" t="n"/>
      <c r="Q125" s="16" t="n"/>
      <c r="R125" s="16" t="n"/>
      <c r="S125" s="16" t="n"/>
      <c r="T125" s="16" t="n"/>
      <c r="U125" s="16" t="n"/>
      <c r="V125" s="16" t="n"/>
      <c r="W125" s="16" t="n"/>
      <c r="X125" s="16" t="n"/>
      <c r="Y125" s="16" t="n"/>
      <c r="Z125" s="16" t="n"/>
    </row>
    <row r="126" ht="12.75" customHeight="1" s="588">
      <c r="A126" s="356" t="n"/>
      <c r="B126" s="356" t="n"/>
      <c r="C126" s="400" t="inlineStr">
        <is>
          <t>AÑO 2</t>
        </is>
      </c>
      <c r="D126" s="401" t="n"/>
      <c r="E126" s="503" t="inlineStr">
        <is>
          <t>Incremento de las Ventas</t>
        </is>
      </c>
      <c r="H126" s="410" t="n">
        <v>0.3</v>
      </c>
      <c r="I126" s="401" t="n"/>
      <c r="J126" s="401" t="n"/>
      <c r="K126" s="401" t="n"/>
      <c r="L126" s="401" t="n"/>
      <c r="M126" s="401" t="n"/>
      <c r="N126" s="401" t="n"/>
      <c r="O126" s="402" t="n"/>
      <c r="P126" s="1" t="n"/>
      <c r="Q126" s="16" t="n"/>
      <c r="R126" s="16" t="n"/>
      <c r="S126" s="16" t="n"/>
      <c r="T126" s="16" t="n"/>
      <c r="U126" s="16" t="n"/>
      <c r="V126" s="16" t="n"/>
      <c r="W126" s="16" t="n"/>
      <c r="X126" s="16" t="n"/>
      <c r="Y126" s="16" t="n"/>
      <c r="Z126" s="16" t="n"/>
    </row>
    <row r="127" ht="12.75" customHeight="1" s="588">
      <c r="A127" s="356" t="n"/>
      <c r="B127" s="356" t="n"/>
      <c r="C127" s="403" t="inlineStr">
        <is>
          <t>Mes 1</t>
        </is>
      </c>
      <c r="D127" s="371" t="inlineStr">
        <is>
          <t>Mes 2</t>
        </is>
      </c>
      <c r="E127" s="371" t="inlineStr">
        <is>
          <t>Mes 3</t>
        </is>
      </c>
      <c r="F127" s="371" t="inlineStr">
        <is>
          <t>Mes 4</t>
        </is>
      </c>
      <c r="G127" s="371" t="inlineStr">
        <is>
          <t>Mes 5</t>
        </is>
      </c>
      <c r="H127" s="371" t="inlineStr">
        <is>
          <t>Mes 6</t>
        </is>
      </c>
      <c r="I127" s="371" t="inlineStr">
        <is>
          <t>Mes 7</t>
        </is>
      </c>
      <c r="J127" s="371" t="inlineStr">
        <is>
          <t>Mes 8</t>
        </is>
      </c>
      <c r="K127" s="371" t="inlineStr">
        <is>
          <t>Mes 9</t>
        </is>
      </c>
      <c r="L127" s="371" t="inlineStr">
        <is>
          <t>Mes 10</t>
        </is>
      </c>
      <c r="M127" s="371" t="inlineStr">
        <is>
          <t>Mes 11</t>
        </is>
      </c>
      <c r="N127" s="371" t="inlineStr">
        <is>
          <t>Mes 12</t>
        </is>
      </c>
      <c r="O127" s="404" t="inlineStr">
        <is>
          <t>TOTAL A2</t>
        </is>
      </c>
      <c r="P127" s="1" t="n"/>
      <c r="Q127" s="16" t="n"/>
      <c r="R127" s="16" t="n"/>
      <c r="S127" s="16" t="n"/>
      <c r="T127" s="16" t="n"/>
      <c r="U127" s="16" t="n"/>
      <c r="V127" s="16" t="n"/>
      <c r="W127" s="16" t="n"/>
      <c r="X127" s="16" t="n"/>
      <c r="Y127" s="16" t="n"/>
      <c r="Z127" s="16" t="n"/>
    </row>
    <row r="128" ht="12.75" customHeight="1" s="588">
      <c r="A128" s="356" t="n"/>
      <c r="B128" s="356" t="n"/>
      <c r="C128" s="405">
        <f>C124*(100%+H126)</f>
        <v/>
      </c>
      <c r="D128" s="406">
        <f>C128</f>
        <v/>
      </c>
      <c r="E128" s="406">
        <f>D128</f>
        <v/>
      </c>
      <c r="F128" s="406">
        <f>E128</f>
        <v/>
      </c>
      <c r="G128" s="406">
        <f>F128</f>
        <v/>
      </c>
      <c r="H128" s="406">
        <f>G128</f>
        <v/>
      </c>
      <c r="I128" s="406">
        <f>H128</f>
        <v/>
      </c>
      <c r="J128" s="406">
        <f>I128</f>
        <v/>
      </c>
      <c r="K128" s="406">
        <f>J128</f>
        <v/>
      </c>
      <c r="L128" s="406">
        <f>K128</f>
        <v/>
      </c>
      <c r="M128" s="406">
        <f>L128</f>
        <v/>
      </c>
      <c r="N128" s="406">
        <f>M128</f>
        <v/>
      </c>
      <c r="O128" s="407">
        <f>SUM(C128:N128)</f>
        <v/>
      </c>
      <c r="P128" s="1" t="n"/>
      <c r="Q128" s="16" t="n"/>
      <c r="R128" s="16" t="n"/>
      <c r="S128" s="16" t="n"/>
      <c r="T128" s="16" t="n"/>
      <c r="U128" s="16" t="n"/>
      <c r="V128" s="16" t="n"/>
      <c r="W128" s="16" t="n"/>
      <c r="X128" s="16" t="n"/>
      <c r="Y128" s="16" t="n"/>
      <c r="Z128" s="16" t="n"/>
    </row>
    <row r="129" ht="12.75" customHeight="1" s="588">
      <c r="A129" s="356" t="n"/>
      <c r="B129" s="356" t="n"/>
      <c r="C129" s="408" t="n"/>
      <c r="D129" s="401" t="n"/>
      <c r="E129" s="401" t="n"/>
      <c r="F129" s="401" t="n"/>
      <c r="G129" s="401" t="n"/>
      <c r="H129" s="401" t="n"/>
      <c r="I129" s="401" t="n"/>
      <c r="J129" s="401" t="n"/>
      <c r="K129" s="401" t="n"/>
      <c r="L129" s="401" t="n"/>
      <c r="M129" s="401" t="n"/>
      <c r="N129" s="401" t="n"/>
      <c r="O129" s="402" t="n"/>
      <c r="P129" s="1" t="n"/>
      <c r="Q129" s="16" t="n"/>
      <c r="R129" s="16" t="n"/>
      <c r="S129" s="16" t="n"/>
      <c r="T129" s="16" t="n"/>
      <c r="U129" s="16" t="n"/>
      <c r="V129" s="16" t="n"/>
      <c r="W129" s="16" t="n"/>
      <c r="X129" s="16" t="n"/>
      <c r="Y129" s="16" t="n"/>
      <c r="Z129" s="16" t="n"/>
    </row>
    <row r="130" ht="12.75" customHeight="1" s="588">
      <c r="A130" s="356" t="n"/>
      <c r="B130" s="356" t="n"/>
      <c r="C130" s="400" t="inlineStr">
        <is>
          <t>AÑO 3</t>
        </is>
      </c>
      <c r="D130" s="401" t="n"/>
      <c r="E130" s="503" t="inlineStr">
        <is>
          <t>Incremento de las Ventas</t>
        </is>
      </c>
      <c r="H130" s="410" t="n">
        <v>0.2</v>
      </c>
      <c r="I130" s="401" t="n"/>
      <c r="J130" s="401" t="n"/>
      <c r="K130" s="401" t="n"/>
      <c r="L130" s="401" t="n"/>
      <c r="M130" s="401" t="n"/>
      <c r="N130" s="401" t="n"/>
      <c r="O130" s="402" t="n"/>
      <c r="P130" s="1" t="n"/>
      <c r="Q130" s="16" t="n"/>
      <c r="R130" s="16" t="n"/>
      <c r="S130" s="16" t="n"/>
      <c r="T130" s="16" t="n"/>
      <c r="U130" s="16" t="n"/>
      <c r="V130" s="16" t="n"/>
      <c r="W130" s="16" t="n"/>
      <c r="X130" s="16" t="n"/>
      <c r="Y130" s="16" t="n"/>
      <c r="Z130" s="16" t="n"/>
    </row>
    <row r="131" ht="12.75" customHeight="1" s="588">
      <c r="A131" s="356" t="n"/>
      <c r="B131" s="356" t="n"/>
      <c r="C131" s="403" t="inlineStr">
        <is>
          <t>Mes 1</t>
        </is>
      </c>
      <c r="D131" s="371" t="inlineStr">
        <is>
          <t>Mes 2</t>
        </is>
      </c>
      <c r="E131" s="371" t="inlineStr">
        <is>
          <t>Mes 3</t>
        </is>
      </c>
      <c r="F131" s="371" t="inlineStr">
        <is>
          <t>Mes 4</t>
        </is>
      </c>
      <c r="G131" s="371" t="inlineStr">
        <is>
          <t>Mes 5</t>
        </is>
      </c>
      <c r="H131" s="371" t="inlineStr">
        <is>
          <t>Mes 6</t>
        </is>
      </c>
      <c r="I131" s="371" t="inlineStr">
        <is>
          <t>Mes 7</t>
        </is>
      </c>
      <c r="J131" s="371" t="inlineStr">
        <is>
          <t>Mes 8</t>
        </is>
      </c>
      <c r="K131" s="371" t="inlineStr">
        <is>
          <t>Mes 9</t>
        </is>
      </c>
      <c r="L131" s="371" t="inlineStr">
        <is>
          <t>Mes 10</t>
        </is>
      </c>
      <c r="M131" s="371" t="inlineStr">
        <is>
          <t>Mes 11</t>
        </is>
      </c>
      <c r="N131" s="371" t="inlineStr">
        <is>
          <t>Mes 12</t>
        </is>
      </c>
      <c r="O131" s="404" t="inlineStr">
        <is>
          <t>TOTAL A3</t>
        </is>
      </c>
      <c r="P131" s="1" t="n"/>
      <c r="Q131" s="16" t="n"/>
      <c r="R131" s="16" t="n"/>
      <c r="S131" s="16" t="n"/>
      <c r="T131" s="16" t="n"/>
      <c r="U131" s="16" t="n"/>
      <c r="V131" s="16" t="n"/>
      <c r="W131" s="16" t="n"/>
      <c r="X131" s="16" t="n"/>
      <c r="Y131" s="16" t="n"/>
      <c r="Z131" s="16" t="n"/>
    </row>
    <row r="132" ht="12.75" customHeight="1" s="588">
      <c r="A132" s="356" t="n"/>
      <c r="B132" s="356" t="n"/>
      <c r="C132" s="411">
        <f>C128*(100%+H130)</f>
        <v/>
      </c>
      <c r="D132" s="412">
        <f>C132</f>
        <v/>
      </c>
      <c r="E132" s="412">
        <f>D132</f>
        <v/>
      </c>
      <c r="F132" s="412">
        <f>E132</f>
        <v/>
      </c>
      <c r="G132" s="412">
        <f>F132</f>
        <v/>
      </c>
      <c r="H132" s="412">
        <f>G132</f>
        <v/>
      </c>
      <c r="I132" s="412">
        <f>H132</f>
        <v/>
      </c>
      <c r="J132" s="412">
        <f>I132</f>
        <v/>
      </c>
      <c r="K132" s="412">
        <f>J132</f>
        <v/>
      </c>
      <c r="L132" s="412">
        <f>K132</f>
        <v/>
      </c>
      <c r="M132" s="412">
        <f>L132</f>
        <v/>
      </c>
      <c r="N132" s="412">
        <f>M132</f>
        <v/>
      </c>
      <c r="O132" s="413">
        <f>SUM(C132:N132)</f>
        <v/>
      </c>
      <c r="P132" s="1" t="n"/>
      <c r="Q132" s="16" t="n"/>
      <c r="R132" s="16" t="n"/>
      <c r="S132" s="16" t="n"/>
      <c r="T132" s="16" t="n"/>
      <c r="U132" s="16" t="n"/>
      <c r="V132" s="16" t="n"/>
      <c r="W132" s="16" t="n"/>
      <c r="X132" s="16" t="n"/>
      <c r="Y132" s="16" t="n"/>
      <c r="Z132" s="16" t="n"/>
    </row>
    <row r="133" ht="12.75" customHeight="1" s="588">
      <c r="A133" s="356" t="n"/>
      <c r="B133" s="356" t="n"/>
      <c r="C133" s="356" t="n"/>
      <c r="D133" s="356" t="n"/>
      <c r="E133" s="356" t="n"/>
      <c r="F133" s="356" t="n"/>
      <c r="G133" s="356" t="n"/>
      <c r="H133" s="356" t="n"/>
      <c r="I133" s="356" t="n"/>
      <c r="J133" s="356" t="n"/>
      <c r="K133" s="1" t="n"/>
      <c r="L133" s="1" t="n"/>
      <c r="M133" s="1" t="n"/>
      <c r="N133" s="1" t="n"/>
      <c r="O133" s="1" t="n"/>
      <c r="P133" s="1" t="n"/>
      <c r="Q133" s="16" t="n"/>
      <c r="R133" s="16" t="n"/>
      <c r="S133" s="16" t="n"/>
      <c r="T133" s="16" t="n"/>
      <c r="U133" s="16" t="n"/>
      <c r="V133" s="16" t="n"/>
      <c r="W133" s="16" t="n"/>
      <c r="X133" s="16" t="n"/>
      <c r="Y133" s="16" t="n"/>
      <c r="Z133" s="16" t="n"/>
    </row>
    <row r="134" hidden="1" ht="12.75" customHeight="1" s="588">
      <c r="A134" s="356" t="n"/>
      <c r="B134" s="356" t="n"/>
      <c r="C134" s="356" t="n"/>
      <c r="D134" s="356" t="n"/>
      <c r="E134" s="356" t="n"/>
      <c r="F134" s="356" t="n"/>
      <c r="G134" s="414" t="n">
        <v>0.07000000000000001</v>
      </c>
      <c r="H134" s="356" t="n"/>
      <c r="I134" s="356" t="n"/>
      <c r="J134" s="356" t="n"/>
      <c r="K134" s="1" t="n"/>
      <c r="L134" s="1" t="n"/>
      <c r="M134" s="1" t="n"/>
      <c r="N134" s="1" t="n"/>
      <c r="O134" s="1" t="n"/>
      <c r="P134" s="1" t="n"/>
      <c r="Q134" s="16" t="n"/>
      <c r="R134" s="16" t="n"/>
      <c r="S134" s="16" t="n"/>
      <c r="T134" s="16" t="n"/>
      <c r="U134" s="16" t="n"/>
      <c r="V134" s="16" t="n"/>
      <c r="W134" s="16" t="n"/>
      <c r="X134" s="16" t="n"/>
      <c r="Y134" s="16" t="n"/>
      <c r="Z134" s="16" t="n"/>
    </row>
    <row r="135" hidden="1" ht="12.75" customHeight="1" s="588">
      <c r="A135" s="356" t="n"/>
      <c r="B135" s="356" t="n"/>
      <c r="C135" s="356" t="n"/>
      <c r="D135" s="356" t="n"/>
      <c r="E135" s="356" t="n"/>
      <c r="F135" s="356" t="n"/>
      <c r="G135" s="414" t="n">
        <v>0.03</v>
      </c>
      <c r="H135" s="356" t="n"/>
      <c r="I135" s="356" t="n"/>
      <c r="J135" s="356" t="n"/>
      <c r="K135" s="1" t="n"/>
      <c r="L135" s="1" t="n"/>
      <c r="M135" s="1" t="n"/>
      <c r="N135" s="1" t="n"/>
      <c r="O135" s="1" t="n"/>
      <c r="P135" s="1" t="n"/>
      <c r="Q135" s="16" t="n"/>
      <c r="R135" s="16" t="n"/>
      <c r="S135" s="16" t="n"/>
      <c r="T135" s="16" t="n"/>
      <c r="U135" s="16" t="n"/>
      <c r="V135" s="16" t="n"/>
      <c r="W135" s="16" t="n"/>
      <c r="X135" s="16" t="n"/>
      <c r="Y135" s="16" t="n"/>
      <c r="Z135" s="16" t="n"/>
    </row>
    <row r="136" hidden="1" ht="12.75" customHeight="1" s="588">
      <c r="A136" s="356" t="n"/>
      <c r="B136" s="356" t="n"/>
      <c r="C136" s="356" t="n"/>
      <c r="D136" s="356" t="n"/>
      <c r="E136" s="356" t="n"/>
      <c r="F136" s="356" t="n"/>
      <c r="G136" s="414" t="n">
        <v>0.0275</v>
      </c>
      <c r="H136" s="356" t="n"/>
      <c r="I136" s="356" t="n"/>
      <c r="J136" s="356" t="n"/>
      <c r="K136" s="1" t="n"/>
      <c r="L136" s="1" t="n"/>
      <c r="M136" s="1" t="n"/>
      <c r="N136" s="1" t="n"/>
      <c r="O136" s="1" t="n"/>
      <c r="P136" s="1" t="n"/>
      <c r="Q136" s="16" t="n"/>
      <c r="R136" s="16" t="n"/>
      <c r="S136" s="16" t="n"/>
      <c r="T136" s="16" t="n"/>
      <c r="U136" s="16" t="n"/>
      <c r="V136" s="16" t="n"/>
      <c r="W136" s="16" t="n"/>
      <c r="X136" s="16" t="n"/>
      <c r="Y136" s="16" t="n"/>
      <c r="Z136" s="16" t="n"/>
    </row>
    <row r="137" hidden="1" ht="12.75" customHeight="1" s="588">
      <c r="A137" s="356" t="n"/>
      <c r="B137" s="356" t="n"/>
      <c r="C137" s="356" t="n"/>
      <c r="D137" s="356" t="n"/>
      <c r="E137" s="356" t="n"/>
      <c r="F137" s="356" t="n"/>
      <c r="G137" s="414" t="n">
        <v>0</v>
      </c>
      <c r="H137" s="356" t="n"/>
      <c r="I137" s="356" t="n"/>
      <c r="J137" s="356" t="n"/>
      <c r="K137" s="1" t="n"/>
      <c r="L137" s="1" t="n"/>
      <c r="M137" s="1" t="n"/>
      <c r="N137" s="1" t="n"/>
      <c r="O137" s="1" t="n"/>
      <c r="P137" s="1" t="n"/>
      <c r="Q137" s="16" t="n"/>
      <c r="R137" s="16" t="n"/>
      <c r="S137" s="16" t="n"/>
      <c r="T137" s="16" t="n"/>
      <c r="U137" s="16" t="n"/>
      <c r="V137" s="16" t="n"/>
      <c r="W137" s="16" t="n"/>
      <c r="X137" s="16" t="n"/>
      <c r="Y137" s="16" t="n"/>
      <c r="Z137" s="16" t="n"/>
    </row>
    <row r="138" ht="12.75" customHeight="1" s="588">
      <c r="A138" s="356" t="n"/>
      <c r="B138" s="356" t="n"/>
      <c r="C138" s="356" t="n"/>
      <c r="D138" s="356" t="n"/>
      <c r="E138" s="356" t="n"/>
      <c r="F138" s="356" t="n"/>
      <c r="G138" s="415" t="n"/>
      <c r="H138" s="356" t="n"/>
      <c r="I138" s="356" t="n"/>
      <c r="J138" s="356" t="n"/>
      <c r="K138" s="1" t="n"/>
      <c r="L138" s="1" t="n"/>
      <c r="M138" s="1" t="n"/>
      <c r="N138" s="1" t="n"/>
      <c r="O138" s="1" t="n"/>
      <c r="P138" s="1" t="n"/>
      <c r="Q138" s="16" t="n"/>
      <c r="R138" s="16" t="n"/>
      <c r="S138" s="16" t="n"/>
      <c r="T138" s="16" t="n"/>
      <c r="U138" s="16" t="n"/>
      <c r="V138" s="16" t="n"/>
      <c r="W138" s="16" t="n"/>
      <c r="X138" s="16" t="n"/>
      <c r="Y138" s="16" t="n"/>
      <c r="Z138" s="16" t="n"/>
    </row>
    <row r="139" ht="12.75" customHeight="1" s="588">
      <c r="A139" s="356" t="n"/>
      <c r="B139" s="356" t="n"/>
      <c r="C139" s="356" t="n"/>
      <c r="D139" s="356" t="n"/>
      <c r="E139" s="356" t="n"/>
      <c r="F139" s="356" t="n"/>
      <c r="G139" s="415" t="n"/>
      <c r="H139" s="356" t="n"/>
      <c r="I139" s="356" t="n"/>
      <c r="J139" s="356" t="n"/>
      <c r="K139" s="1" t="n"/>
      <c r="L139" s="1" t="n"/>
      <c r="M139" s="1" t="n"/>
      <c r="N139" s="1" t="n"/>
      <c r="O139" s="1" t="n"/>
      <c r="P139" s="1" t="n"/>
      <c r="Q139" s="16" t="n"/>
      <c r="R139" s="16" t="n"/>
      <c r="S139" s="16" t="n"/>
      <c r="T139" s="16" t="n"/>
      <c r="U139" s="16" t="n"/>
      <c r="V139" s="16" t="n"/>
      <c r="W139" s="16" t="n"/>
      <c r="X139" s="16" t="n"/>
      <c r="Y139" s="16" t="n"/>
      <c r="Z139" s="16" t="n"/>
    </row>
    <row r="140" ht="12.75" customHeight="1" s="588">
      <c r="A140" s="356" t="n"/>
      <c r="B140" s="356" t="n"/>
      <c r="C140" s="356" t="n"/>
      <c r="D140" s="356" t="n"/>
      <c r="E140" s="356" t="n"/>
      <c r="F140" s="356" t="n"/>
      <c r="G140" s="415" t="n"/>
      <c r="H140" s="356" t="n"/>
      <c r="I140" s="356" t="n"/>
      <c r="J140" s="356" t="n"/>
      <c r="K140" s="1" t="n"/>
      <c r="L140" s="1" t="n"/>
      <c r="M140" s="1" t="n"/>
      <c r="N140" s="1" t="n"/>
      <c r="O140" s="1" t="n"/>
      <c r="P140" s="1" t="n"/>
      <c r="Q140" s="16" t="n"/>
      <c r="R140" s="16" t="n"/>
      <c r="S140" s="16" t="n"/>
      <c r="T140" s="16" t="n"/>
      <c r="U140" s="16" t="n"/>
      <c r="V140" s="16" t="n"/>
      <c r="W140" s="16" t="n"/>
      <c r="X140" s="16" t="n"/>
      <c r="Y140" s="16" t="n"/>
      <c r="Z140" s="16" t="n"/>
    </row>
    <row r="141" ht="12.75" customHeight="1" s="588">
      <c r="A141" s="356" t="n"/>
      <c r="B141" s="356" t="n"/>
      <c r="C141" s="356" t="n"/>
      <c r="D141" s="356" t="n"/>
      <c r="E141" s="356" t="n"/>
      <c r="F141" s="356" t="n"/>
      <c r="G141" s="356" t="n"/>
      <c r="H141" s="356" t="n"/>
      <c r="I141" s="356" t="n"/>
      <c r="J141" s="356" t="n"/>
      <c r="K141" s="1" t="n"/>
      <c r="L141" s="1" t="n"/>
      <c r="M141" s="1" t="n"/>
      <c r="N141" s="1" t="n"/>
      <c r="O141" s="1" t="n"/>
      <c r="P141" s="1" t="n"/>
      <c r="Q141" s="16" t="n"/>
      <c r="R141" s="16" t="n"/>
      <c r="S141" s="16" t="n"/>
      <c r="T141" s="16" t="n"/>
      <c r="U141" s="16" t="n"/>
      <c r="V141" s="16" t="n"/>
      <c r="W141" s="16" t="n"/>
      <c r="X141" s="16" t="n"/>
      <c r="Y141" s="16" t="n"/>
      <c r="Z141" s="16" t="n"/>
    </row>
    <row r="142" ht="12.75" customHeight="1" s="588">
      <c r="A142" s="8" t="inlineStr">
        <is>
          <t>¿CUÁNTO Y CUÁNDO?</t>
        </is>
      </c>
      <c r="B142" s="1" t="n"/>
      <c r="C142" s="1" t="n"/>
      <c r="D142" s="1" t="n"/>
      <c r="E142" s="1" t="n"/>
      <c r="F142" s="1" t="n"/>
      <c r="G142" s="1" t="n"/>
      <c r="H142" s="1" t="n"/>
      <c r="I142" s="1" t="n"/>
      <c r="J142" s="185" t="n"/>
      <c r="K142" s="185" t="n"/>
      <c r="L142" s="1" t="n"/>
      <c r="M142" s="1" t="n"/>
      <c r="N142" s="1" t="n"/>
      <c r="O142" s="1" t="n"/>
      <c r="P142" s="185" t="inlineStr">
        <is>
          <t>Plan Financiero</t>
        </is>
      </c>
      <c r="Q142" s="16" t="n"/>
      <c r="R142" s="16" t="n"/>
      <c r="S142" s="16" t="n"/>
      <c r="T142" s="16" t="n"/>
      <c r="U142" s="16" t="n"/>
      <c r="V142" s="16" t="n"/>
      <c r="W142" s="16" t="n"/>
      <c r="X142" s="16" t="n"/>
      <c r="Y142" s="16" t="n"/>
      <c r="Z142" s="16" t="n"/>
    </row>
    <row r="143" ht="12.75" customHeight="1" s="588">
      <c r="A143" s="1" t="n"/>
      <c r="B143" s="1" t="n"/>
      <c r="C143" s="1" t="n"/>
      <c r="D143" s="1" t="n"/>
      <c r="E143" s="1" t="n"/>
      <c r="F143" s="768" t="inlineStr">
        <is>
          <t>GASTOS DE PERSONAL</t>
        </is>
      </c>
      <c r="G143" s="649" t="n"/>
      <c r="H143" s="649" t="n"/>
      <c r="I143" s="649" t="n"/>
      <c r="J143" s="649" t="n"/>
      <c r="K143" s="647" t="n"/>
      <c r="L143" s="1" t="n"/>
      <c r="M143" s="1" t="n"/>
      <c r="N143" s="1" t="n"/>
      <c r="O143" s="1" t="n"/>
      <c r="P143" s="1" t="n"/>
      <c r="Q143" s="16" t="n"/>
      <c r="R143" s="16" t="n"/>
      <c r="S143" s="16" t="n"/>
      <c r="T143" s="16" t="n"/>
      <c r="U143" s="16" t="n"/>
      <c r="V143" s="16" t="n"/>
      <c r="W143" s="16" t="n"/>
      <c r="X143" s="16" t="n"/>
      <c r="Y143" s="16" t="n"/>
      <c r="Z143" s="16" t="n"/>
    </row>
    <row r="144" ht="12.75" customHeight="1" s="588">
      <c r="A144" s="1" t="n"/>
      <c r="B144" s="1" t="n"/>
      <c r="C144" s="1" t="n"/>
      <c r="D144" s="1" t="n"/>
      <c r="E144" s="1" t="n"/>
      <c r="F144" s="169" t="n"/>
      <c r="L144" s="1" t="n"/>
      <c r="M144" s="1" t="n"/>
      <c r="N144" s="1" t="n"/>
      <c r="O144" s="1" t="n"/>
      <c r="P144" s="1" t="n"/>
      <c r="Q144" s="16" t="n"/>
      <c r="R144" s="16" t="n"/>
      <c r="S144" s="16" t="n"/>
      <c r="T144" s="16" t="n"/>
      <c r="U144" s="16" t="n"/>
      <c r="V144" s="16" t="n"/>
      <c r="W144" s="16" t="n"/>
      <c r="X144" s="16" t="n"/>
      <c r="Y144" s="16" t="n"/>
      <c r="Z144" s="16" t="n"/>
    </row>
    <row r="145" ht="12.75" customHeight="1" s="588">
      <c r="A145" s="309" t="inlineStr">
        <is>
          <t>EMPRESARIOS</t>
        </is>
      </c>
      <c r="B145" s="591" t="n"/>
      <c r="C145" s="309" t="inlineStr">
        <is>
          <t>AÑO 1</t>
        </is>
      </c>
      <c r="D145" s="309" t="inlineStr">
        <is>
          <t>AÑO 2</t>
        </is>
      </c>
      <c r="E145" s="309" t="inlineStr">
        <is>
          <t>AÑO 3</t>
        </is>
      </c>
      <c r="F145" s="416" t="n"/>
      <c r="G145" s="418" t="inlineStr">
        <is>
          <t>EMPLEADOS</t>
        </is>
      </c>
      <c r="H145" s="594" t="n"/>
      <c r="I145" s="418" t="inlineStr">
        <is>
          <t>AÑO 1</t>
        </is>
      </c>
      <c r="J145" s="418" t="inlineStr">
        <is>
          <t>AÑO 2</t>
        </is>
      </c>
      <c r="K145" s="418" t="inlineStr">
        <is>
          <t>AÑO 3</t>
        </is>
      </c>
      <c r="L145" s="309" t="inlineStr">
        <is>
          <t>EMPLEADOS</t>
        </is>
      </c>
      <c r="M145" s="591" t="n"/>
      <c r="N145" s="309" t="inlineStr">
        <is>
          <t>AÑO 1</t>
        </is>
      </c>
      <c r="O145" s="309" t="inlineStr">
        <is>
          <t>AÑO 2</t>
        </is>
      </c>
      <c r="P145" s="309" t="inlineStr">
        <is>
          <t>AÑO 3</t>
        </is>
      </c>
      <c r="Q145" s="16" t="n"/>
      <c r="R145" s="16" t="n"/>
      <c r="S145" s="16" t="n"/>
      <c r="T145" s="16" t="n"/>
      <c r="U145" s="16" t="n"/>
      <c r="V145" s="16" t="n"/>
      <c r="W145" s="16" t="n"/>
      <c r="X145" s="16" t="n"/>
      <c r="Y145" s="16" t="n"/>
      <c r="Z145" s="16" t="n"/>
    </row>
    <row r="146" ht="12.75" customHeight="1" s="588">
      <c r="A146" s="75" t="inlineStr">
        <is>
          <t>Empresario 1</t>
        </is>
      </c>
      <c r="B146" s="75" t="n"/>
      <c r="C146" s="83" t="n"/>
      <c r="D146" s="83" t="n"/>
      <c r="E146" s="83" t="n"/>
      <c r="F146" s="1" t="n"/>
      <c r="G146" s="774" t="inlineStr">
        <is>
          <t>Empleado 1 (función):</t>
        </is>
      </c>
      <c r="H146" s="590" t="n"/>
      <c r="I146" s="364">
        <f>'CÓMO'!B606</f>
        <v/>
      </c>
      <c r="J146" s="590" t="n"/>
      <c r="K146" s="590" t="n"/>
      <c r="L146" s="774" t="inlineStr">
        <is>
          <t>Empleado 5 (función):</t>
        </is>
      </c>
      <c r="M146" s="590" t="n"/>
      <c r="N146" s="364">
        <f>'CÓMO'!B618</f>
        <v/>
      </c>
      <c r="O146" s="590" t="n"/>
      <c r="P146" s="590" t="n"/>
      <c r="Q146" s="16" t="n"/>
      <c r="R146" s="16" t="n"/>
      <c r="S146" s="16" t="n"/>
      <c r="T146" s="16" t="n"/>
      <c r="U146" s="16" t="n"/>
      <c r="V146" s="16" t="n"/>
      <c r="W146" s="16" t="n"/>
      <c r="X146" s="16" t="n"/>
      <c r="Y146" s="16" t="n"/>
      <c r="Z146" s="16" t="n"/>
    </row>
    <row r="147" ht="12.75" customHeight="1" s="588">
      <c r="A147" s="759" t="inlineStr">
        <is>
          <t>Líquido Anual</t>
        </is>
      </c>
      <c r="B147" s="594" t="n"/>
      <c r="C147" s="422" t="n">
        <v>15600</v>
      </c>
      <c r="D147" s="423">
        <f>C147*(100%+$H$25)</f>
        <v/>
      </c>
      <c r="E147" s="424">
        <f>D147*(100%+$H$25)</f>
        <v/>
      </c>
      <c r="F147" s="1" t="n"/>
      <c r="G147" s="775" t="inlineStr">
        <is>
          <t>Bruto anual</t>
        </is>
      </c>
      <c r="I147" s="358">
        <f>'CÓMO'!E606</f>
        <v/>
      </c>
      <c r="J147" s="358">
        <f>'CÓMO'!F606</f>
        <v/>
      </c>
      <c r="K147" s="358">
        <f>'CÓMO'!G606</f>
        <v/>
      </c>
      <c r="L147" s="776" t="inlineStr">
        <is>
          <t>Bruto anual</t>
        </is>
      </c>
      <c r="M147" s="593" t="n"/>
      <c r="N147" s="425">
        <f>'CÓMO'!E618</f>
        <v/>
      </c>
      <c r="O147" s="425">
        <f>'CÓMO'!F618</f>
        <v/>
      </c>
      <c r="P147" s="426">
        <f>'CÓMO'!G618</f>
        <v/>
      </c>
      <c r="Q147" s="16" t="n"/>
      <c r="R147" s="16" t="n"/>
      <c r="S147" s="16" t="n"/>
      <c r="T147" s="16" t="n"/>
      <c r="U147" s="16" t="n"/>
      <c r="V147" s="16" t="n"/>
      <c r="W147" s="16" t="n"/>
      <c r="X147" s="16" t="n"/>
      <c r="Y147" s="16" t="n"/>
      <c r="Z147" s="16" t="n"/>
    </row>
    <row r="148" ht="12.75" customHeight="1" s="588">
      <c r="A148" s="748" t="inlineStr">
        <is>
          <t>SS</t>
        </is>
      </c>
      <c r="B148" s="596" t="n"/>
      <c r="C148" s="427" t="n">
        <v>960</v>
      </c>
      <c r="D148" s="406" t="n">
        <v>5366</v>
      </c>
      <c r="E148" s="428" t="n">
        <v>5527</v>
      </c>
      <c r="F148" s="1" t="n"/>
      <c r="G148" s="775" t="inlineStr">
        <is>
          <t>% Retencion IRPF</t>
        </is>
      </c>
      <c r="I148" s="429" t="n">
        <v>0</v>
      </c>
      <c r="J148" s="429">
        <f>I148</f>
        <v/>
      </c>
      <c r="K148" s="430">
        <f>J148</f>
        <v/>
      </c>
      <c r="L148" s="775" t="inlineStr">
        <is>
          <t>% Retencion IRPF</t>
        </is>
      </c>
      <c r="N148" s="429" t="n"/>
      <c r="O148" s="429">
        <f>N148</f>
        <v/>
      </c>
      <c r="P148" s="430">
        <f>O148</f>
        <v/>
      </c>
      <c r="Q148" s="16" t="n"/>
      <c r="R148" s="16" t="n"/>
      <c r="S148" s="16" t="n"/>
      <c r="T148" s="16" t="n"/>
      <c r="U148" s="16" t="n"/>
      <c r="V148" s="16" t="n"/>
      <c r="W148" s="16" t="n"/>
      <c r="X148" s="16" t="n"/>
      <c r="Y148" s="16" t="n"/>
      <c r="Z148" s="16" t="n"/>
    </row>
    <row r="149" ht="12.75" customHeight="1" s="588">
      <c r="A149" s="748" t="inlineStr">
        <is>
          <t>Retribución Bruta</t>
        </is>
      </c>
      <c r="B149" s="596" t="n"/>
      <c r="C149" s="431">
        <f>IF(C150="n/a",C147+C148,(C147+C148)/(100%-C150))</f>
        <v/>
      </c>
      <c r="D149" s="358">
        <f>IF(D150="n/a",D147+D148,(D147+D148)/(100%-D150))</f>
        <v/>
      </c>
      <c r="E149" s="432">
        <f>IF(E150="n/a",E147+E148,(E147+E148)/(100%-E150))</f>
        <v/>
      </c>
      <c r="F149" s="1" t="n"/>
      <c r="G149" s="775" t="inlineStr">
        <is>
          <t>Retención IRPF</t>
        </is>
      </c>
      <c r="I149" s="358">
        <f>I147*I148</f>
        <v/>
      </c>
      <c r="J149" s="358">
        <f>J147*J148</f>
        <v/>
      </c>
      <c r="K149" s="358">
        <f>K147*K148</f>
        <v/>
      </c>
      <c r="L149" s="775" t="inlineStr">
        <is>
          <t>Retención IRPF</t>
        </is>
      </c>
      <c r="N149" s="358">
        <f>N147*N148</f>
        <v/>
      </c>
      <c r="O149" s="358">
        <f>O147*O148</f>
        <v/>
      </c>
      <c r="P149" s="432">
        <f>P147*P148</f>
        <v/>
      </c>
      <c r="Q149" s="16" t="n"/>
      <c r="R149" s="16" t="n"/>
      <c r="S149" s="16" t="n"/>
      <c r="T149" s="16" t="n"/>
      <c r="U149" s="16" t="n"/>
      <c r="V149" s="16" t="n"/>
      <c r="W149" s="16" t="n"/>
      <c r="X149" s="16" t="n"/>
      <c r="Y149" s="16" t="n"/>
      <c r="Z149" s="16" t="n"/>
    </row>
    <row r="150" ht="12.75" customHeight="1" s="588">
      <c r="A150" s="766" t="inlineStr">
        <is>
          <t>Retención IRPF</t>
        </is>
      </c>
      <c r="B150" s="599" t="n"/>
      <c r="C150" s="433">
        <f>IF($D$20=25%,15%,"n/a")</f>
        <v/>
      </c>
      <c r="D150" s="434">
        <f>IF($D$20=25%,15%,"n/a")</f>
        <v/>
      </c>
      <c r="E150" s="435">
        <f>IF($D$20=25%,15%,"n/a")</f>
        <v/>
      </c>
      <c r="F150" s="1" t="n"/>
      <c r="G150" s="775" t="inlineStr">
        <is>
          <t>SS Empresa</t>
        </is>
      </c>
      <c r="I150" s="358">
        <f>I147*30.6%</f>
        <v/>
      </c>
      <c r="J150" s="358">
        <f>J147*30.6%</f>
        <v/>
      </c>
      <c r="K150" s="358">
        <f>K147*30.6%</f>
        <v/>
      </c>
      <c r="L150" s="775" t="inlineStr">
        <is>
          <t>SS Empresa</t>
        </is>
      </c>
      <c r="N150" s="358">
        <f>N147*30.6%</f>
        <v/>
      </c>
      <c r="O150" s="358">
        <f>O147*30.6%</f>
        <v/>
      </c>
      <c r="P150" s="432">
        <f>P147*30.6%</f>
        <v/>
      </c>
      <c r="Q150" s="16" t="n"/>
      <c r="R150" s="16" t="n"/>
      <c r="S150" s="16" t="n"/>
      <c r="T150" s="16" t="n"/>
      <c r="U150" s="16" t="n"/>
      <c r="V150" s="16" t="n"/>
      <c r="W150" s="16" t="n"/>
      <c r="X150" s="16" t="n"/>
      <c r="Y150" s="16" t="n"/>
      <c r="Z150" s="16" t="n"/>
    </row>
    <row r="151" ht="12.75" customHeight="1" s="588">
      <c r="A151" s="72" t="n"/>
      <c r="B151" s="72" t="n"/>
      <c r="C151" s="1" t="n"/>
      <c r="D151" s="1" t="n"/>
      <c r="E151" s="1" t="n"/>
      <c r="F151" s="1" t="n"/>
      <c r="G151" s="775" t="inlineStr">
        <is>
          <t>SS Trabajador</t>
        </is>
      </c>
      <c r="I151" s="436">
        <f>I147*6.35%</f>
        <v/>
      </c>
      <c r="J151" s="436">
        <f>J147*6.35%</f>
        <v/>
      </c>
      <c r="K151" s="436">
        <f>K147*6.35%</f>
        <v/>
      </c>
      <c r="L151" s="777" t="inlineStr">
        <is>
          <t>SS Trabajador</t>
        </is>
      </c>
      <c r="M151" s="598" t="n"/>
      <c r="N151" s="437">
        <f>N147*6.35%</f>
        <v/>
      </c>
      <c r="O151" s="437">
        <f>O147*6.35%</f>
        <v/>
      </c>
      <c r="P151" s="438">
        <f>P147*6.35%</f>
        <v/>
      </c>
      <c r="Q151" s="16" t="n"/>
      <c r="R151" s="16" t="n"/>
      <c r="S151" s="16" t="n"/>
      <c r="T151" s="16" t="n"/>
      <c r="U151" s="16" t="n"/>
      <c r="V151" s="16" t="n"/>
      <c r="W151" s="16" t="n"/>
      <c r="X151" s="16" t="n"/>
      <c r="Y151" s="16" t="n"/>
      <c r="Z151" s="16" t="n"/>
    </row>
    <row r="152" ht="12.75" customHeight="1" s="588">
      <c r="A152" s="75" t="inlineStr">
        <is>
          <t>Empresario 2</t>
        </is>
      </c>
      <c r="C152" s="1" t="n"/>
      <c r="D152" s="1" t="n"/>
      <c r="E152" s="1" t="n"/>
      <c r="F152" s="1" t="n"/>
      <c r="G152" s="774" t="inlineStr">
        <is>
          <t>Empleado 2 (función):</t>
        </is>
      </c>
      <c r="H152" s="590" t="n"/>
      <c r="I152" s="364">
        <f>'CÓMO'!B609</f>
        <v/>
      </c>
      <c r="J152" s="590" t="n"/>
      <c r="K152" s="590" t="n"/>
      <c r="L152" s="774" t="inlineStr">
        <is>
          <t>Empleado 6 (función):</t>
        </is>
      </c>
      <c r="M152" s="590" t="n"/>
      <c r="N152" s="364">
        <f>'CÓMO'!B621</f>
        <v/>
      </c>
      <c r="O152" s="590" t="n"/>
      <c r="P152" s="590" t="n"/>
      <c r="Q152" s="16" t="n"/>
      <c r="R152" s="16" t="n"/>
      <c r="S152" s="16" t="n"/>
      <c r="T152" s="16" t="n"/>
      <c r="U152" s="16" t="n"/>
      <c r="V152" s="16" t="n"/>
      <c r="W152" s="16" t="n"/>
      <c r="X152" s="16" t="n"/>
      <c r="Y152" s="16" t="n"/>
      <c r="Z152" s="16" t="n"/>
    </row>
    <row r="153" ht="12.75" customHeight="1" s="588">
      <c r="A153" s="759" t="inlineStr">
        <is>
          <t>Líquido Anual</t>
        </is>
      </c>
      <c r="B153" s="594" t="n"/>
      <c r="C153" s="422" t="n">
        <v>12000</v>
      </c>
      <c r="D153" s="423">
        <f>C153*(100%+$H$25)</f>
        <v/>
      </c>
      <c r="E153" s="424">
        <f>D153*(100%+$H$25)</f>
        <v/>
      </c>
      <c r="F153" s="1" t="n"/>
      <c r="G153" s="775" t="inlineStr">
        <is>
          <t>Bruto anual</t>
        </is>
      </c>
      <c r="I153" s="358">
        <f>'CÓMO'!E609</f>
        <v/>
      </c>
      <c r="J153" s="358">
        <f>'CÓMO'!F609</f>
        <v/>
      </c>
      <c r="K153" s="358">
        <f>'CÓMO'!G609</f>
        <v/>
      </c>
      <c r="L153" s="776" t="inlineStr">
        <is>
          <t>Bruto anual</t>
        </is>
      </c>
      <c r="M153" s="593" t="n"/>
      <c r="N153" s="425">
        <f>'CÓMO'!E621</f>
        <v/>
      </c>
      <c r="O153" s="425">
        <f>'CÓMO'!F621</f>
        <v/>
      </c>
      <c r="P153" s="426">
        <f>'CÓMO'!G621</f>
        <v/>
      </c>
      <c r="Q153" s="16" t="n"/>
      <c r="R153" s="16" t="n"/>
      <c r="S153" s="16" t="n"/>
      <c r="T153" s="16" t="n"/>
      <c r="U153" s="16" t="n"/>
      <c r="V153" s="16" t="n"/>
      <c r="W153" s="16" t="n"/>
      <c r="X153" s="16" t="n"/>
      <c r="Y153" s="16" t="n"/>
      <c r="Z153" s="16" t="n"/>
    </row>
    <row r="154" ht="12.75" customHeight="1" s="588">
      <c r="A154" s="748" t="inlineStr">
        <is>
          <t>SS</t>
        </is>
      </c>
      <c r="B154" s="596" t="n"/>
      <c r="C154" s="427" t="n">
        <v>960</v>
      </c>
      <c r="D154" s="406" t="n">
        <v>5366</v>
      </c>
      <c r="E154" s="428" t="n">
        <v>5527</v>
      </c>
      <c r="F154" s="1" t="n"/>
      <c r="G154" s="775" t="inlineStr">
        <is>
          <t>% Retencion IRPF</t>
        </is>
      </c>
      <c r="I154" s="429" t="n"/>
      <c r="J154" s="429">
        <f>I154</f>
        <v/>
      </c>
      <c r="K154" s="430">
        <f>J154</f>
        <v/>
      </c>
      <c r="L154" s="775" t="inlineStr">
        <is>
          <t>% Retencion IRPF</t>
        </is>
      </c>
      <c r="N154" s="429" t="n"/>
      <c r="O154" s="429">
        <f>N154</f>
        <v/>
      </c>
      <c r="P154" s="430">
        <f>O154</f>
        <v/>
      </c>
      <c r="Q154" s="16" t="n"/>
      <c r="R154" s="16" t="n"/>
      <c r="S154" s="16" t="n"/>
      <c r="T154" s="16" t="n"/>
      <c r="U154" s="16" t="n"/>
      <c r="V154" s="16" t="n"/>
      <c r="W154" s="16" t="n"/>
      <c r="X154" s="16" t="n"/>
      <c r="Y154" s="16" t="n"/>
      <c r="Z154" s="16" t="n"/>
    </row>
    <row r="155" ht="12.75" customHeight="1" s="588">
      <c r="A155" s="748" t="inlineStr">
        <is>
          <t>Retribución Bruta</t>
        </is>
      </c>
      <c r="B155" s="596" t="n"/>
      <c r="C155" s="431">
        <f>IF(C156="n/a",C153+C154,(C153+C154)/(100%-C156))</f>
        <v/>
      </c>
      <c r="D155" s="358">
        <f>IF(D156="n/a",D153+D154,(D153+D154)/(100%-D156))</f>
        <v/>
      </c>
      <c r="E155" s="432">
        <f>IF(E156="n/a",E153+E154,(E153+E154)/(100%-E156))</f>
        <v/>
      </c>
      <c r="F155" s="1" t="n"/>
      <c r="G155" s="775" t="inlineStr">
        <is>
          <t>Retención IRPF</t>
        </is>
      </c>
      <c r="I155" s="358">
        <f>I153*I154</f>
        <v/>
      </c>
      <c r="J155" s="358">
        <f>J153*J154</f>
        <v/>
      </c>
      <c r="K155" s="358">
        <f>K153*K154</f>
        <v/>
      </c>
      <c r="L155" s="775" t="inlineStr">
        <is>
          <t>Retención IRPF</t>
        </is>
      </c>
      <c r="N155" s="358">
        <f>N153*N154</f>
        <v/>
      </c>
      <c r="O155" s="358">
        <f>O153*O154</f>
        <v/>
      </c>
      <c r="P155" s="432">
        <f>P153*P154</f>
        <v/>
      </c>
      <c r="Q155" s="16" t="n"/>
      <c r="R155" s="16" t="n"/>
      <c r="S155" s="16" t="n"/>
      <c r="T155" s="16" t="n"/>
      <c r="U155" s="16" t="n"/>
      <c r="V155" s="16" t="n"/>
      <c r="W155" s="16" t="n"/>
      <c r="X155" s="16" t="n"/>
      <c r="Y155" s="16" t="n"/>
      <c r="Z155" s="16" t="n"/>
    </row>
    <row r="156" ht="12.75" customHeight="1" s="588">
      <c r="A156" s="766" t="inlineStr">
        <is>
          <t>Retención IRPF</t>
        </is>
      </c>
      <c r="B156" s="599" t="n"/>
      <c r="C156" s="433">
        <f>IF($D$20=25%,15%,"n/a")</f>
        <v/>
      </c>
      <c r="D156" s="434">
        <f>IF($D$20=25%,15%,"n/a")</f>
        <v/>
      </c>
      <c r="E156" s="435">
        <f>IF($D$20=25%,15%,"n/a")</f>
        <v/>
      </c>
      <c r="F156" s="1" t="n"/>
      <c r="G156" s="775" t="inlineStr">
        <is>
          <t>SS Empresa</t>
        </is>
      </c>
      <c r="I156" s="358">
        <f>I153*30.6%</f>
        <v/>
      </c>
      <c r="J156" s="358">
        <f>J153*30.6%</f>
        <v/>
      </c>
      <c r="K156" s="358">
        <f>K153*30.6%</f>
        <v/>
      </c>
      <c r="L156" s="775" t="inlineStr">
        <is>
          <t>SS Empresa</t>
        </is>
      </c>
      <c r="N156" s="358">
        <f>N153*30.6%</f>
        <v/>
      </c>
      <c r="O156" s="358">
        <f>O153*30.6%</f>
        <v/>
      </c>
      <c r="P156" s="432">
        <f>P153*30.6%</f>
        <v/>
      </c>
      <c r="Q156" s="16" t="n"/>
      <c r="R156" s="16" t="n"/>
      <c r="S156" s="16" t="n"/>
      <c r="T156" s="16" t="n"/>
      <c r="U156" s="16" t="n"/>
      <c r="V156" s="16" t="n"/>
      <c r="W156" s="16" t="n"/>
      <c r="X156" s="16" t="n"/>
      <c r="Y156" s="16" t="n"/>
      <c r="Z156" s="16" t="n"/>
    </row>
    <row r="157" ht="12.75" customHeight="1" s="588">
      <c r="A157" s="72" t="n"/>
      <c r="B157" s="72" t="n"/>
      <c r="C157" s="1" t="n"/>
      <c r="D157" s="1" t="n"/>
      <c r="E157" s="1" t="n"/>
      <c r="F157" s="1" t="n"/>
      <c r="G157" s="775" t="inlineStr">
        <is>
          <t>SS Trabajador</t>
        </is>
      </c>
      <c r="I157" s="436">
        <f>I153*6.35%</f>
        <v/>
      </c>
      <c r="J157" s="436">
        <f>J153*6.35%</f>
        <v/>
      </c>
      <c r="K157" s="436">
        <f>K153*6.35%</f>
        <v/>
      </c>
      <c r="L157" s="777" t="inlineStr">
        <is>
          <t>SS Trabajador</t>
        </is>
      </c>
      <c r="M157" s="598" t="n"/>
      <c r="N157" s="437">
        <f>N153*6.35%</f>
        <v/>
      </c>
      <c r="O157" s="437">
        <f>O153*6.35%</f>
        <v/>
      </c>
      <c r="P157" s="438">
        <f>P153*6.35%</f>
        <v/>
      </c>
      <c r="Q157" s="16" t="n"/>
      <c r="R157" s="16" t="n"/>
      <c r="S157" s="16" t="n"/>
      <c r="T157" s="16" t="n"/>
      <c r="U157" s="16" t="n"/>
      <c r="V157" s="16" t="n"/>
      <c r="W157" s="16" t="n"/>
      <c r="X157" s="16" t="n"/>
      <c r="Y157" s="16" t="n"/>
      <c r="Z157" s="16" t="n"/>
    </row>
    <row r="158" ht="12.75" customHeight="1" s="588">
      <c r="A158" s="75" t="inlineStr">
        <is>
          <t>Empresario 3</t>
        </is>
      </c>
      <c r="C158" s="1" t="n"/>
      <c r="D158" s="1" t="n"/>
      <c r="E158" s="1" t="n"/>
      <c r="F158" s="1" t="n"/>
      <c r="G158" s="774" t="inlineStr">
        <is>
          <t>Empleado 3 (función):</t>
        </is>
      </c>
      <c r="H158" s="590" t="n"/>
      <c r="I158" s="364">
        <f>'CÓMO'!B612</f>
        <v/>
      </c>
      <c r="J158" s="590" t="n"/>
      <c r="K158" s="590" t="n"/>
      <c r="L158" s="774" t="inlineStr">
        <is>
          <t>Empleado 7 (función):</t>
        </is>
      </c>
      <c r="M158" s="590" t="n"/>
      <c r="N158" s="364">
        <f>'CÓMO'!B624</f>
        <v/>
      </c>
      <c r="O158" s="590" t="n"/>
      <c r="P158" s="590" t="n"/>
      <c r="Q158" s="16" t="n"/>
      <c r="R158" s="16" t="n"/>
      <c r="S158" s="16" t="n"/>
      <c r="T158" s="16" t="n"/>
      <c r="U158" s="16" t="n"/>
      <c r="V158" s="16" t="n"/>
      <c r="W158" s="16" t="n"/>
      <c r="X158" s="16" t="n"/>
      <c r="Y158" s="16" t="n"/>
      <c r="Z158" s="16" t="n"/>
    </row>
    <row r="159" ht="12.75" customHeight="1" s="588">
      <c r="A159" s="759" t="inlineStr">
        <is>
          <t>Líquido Anual</t>
        </is>
      </c>
      <c r="B159" s="594" t="n"/>
      <c r="C159" s="422" t="n"/>
      <c r="D159" s="423">
        <f>C159*(100%+$H$25)</f>
        <v/>
      </c>
      <c r="E159" s="424">
        <f>D159*(100%+$H$25)</f>
        <v/>
      </c>
      <c r="F159" s="1" t="n"/>
      <c r="G159" s="775" t="inlineStr">
        <is>
          <t>Bruto anual</t>
        </is>
      </c>
      <c r="I159" s="358">
        <f>'CÓMO'!E612</f>
        <v/>
      </c>
      <c r="J159" s="358">
        <f>'CÓMO'!F612</f>
        <v/>
      </c>
      <c r="K159" s="358">
        <f>'CÓMO'!G612</f>
        <v/>
      </c>
      <c r="L159" s="776" t="inlineStr">
        <is>
          <t>Bruto anual</t>
        </is>
      </c>
      <c r="M159" s="593" t="n"/>
      <c r="N159" s="425">
        <f>'CÓMO'!E624</f>
        <v/>
      </c>
      <c r="O159" s="425">
        <f>'CÓMO'!F624</f>
        <v/>
      </c>
      <c r="P159" s="426">
        <f>'CÓMO'!G624</f>
        <v/>
      </c>
      <c r="Q159" s="16" t="n"/>
      <c r="R159" s="16" t="n"/>
      <c r="S159" s="16" t="n"/>
      <c r="T159" s="16" t="n"/>
      <c r="U159" s="16" t="n"/>
      <c r="V159" s="16" t="n"/>
      <c r="W159" s="16" t="n"/>
      <c r="X159" s="16" t="n"/>
      <c r="Y159" s="16" t="n"/>
      <c r="Z159" s="16" t="n"/>
    </row>
    <row r="160" ht="12.75" customHeight="1" s="588">
      <c r="A160" s="748" t="inlineStr">
        <is>
          <t>SS</t>
        </is>
      </c>
      <c r="B160" s="596" t="n"/>
      <c r="C160" s="427" t="n"/>
      <c r="D160" s="406">
        <f>C160*(100%+$H$25)</f>
        <v/>
      </c>
      <c r="E160" s="428">
        <f>D160*(100%+$H$25)</f>
        <v/>
      </c>
      <c r="F160" s="1" t="n"/>
      <c r="G160" s="775" t="inlineStr">
        <is>
          <t>% Retencion IRPF</t>
        </is>
      </c>
      <c r="I160" s="429" t="n"/>
      <c r="J160" s="429">
        <f>I160</f>
        <v/>
      </c>
      <c r="K160" s="430">
        <f>J160</f>
        <v/>
      </c>
      <c r="L160" s="775" t="inlineStr">
        <is>
          <t>% Retencion IRPF</t>
        </is>
      </c>
      <c r="N160" s="429" t="n"/>
      <c r="O160" s="429">
        <f>N160</f>
        <v/>
      </c>
      <c r="P160" s="430">
        <f>O160</f>
        <v/>
      </c>
      <c r="Q160" s="16" t="n"/>
      <c r="R160" s="16" t="n"/>
      <c r="S160" s="16" t="n"/>
      <c r="T160" s="16" t="n"/>
      <c r="U160" s="16" t="n"/>
      <c r="V160" s="16" t="n"/>
      <c r="W160" s="16" t="n"/>
      <c r="X160" s="16" t="n"/>
      <c r="Y160" s="16" t="n"/>
      <c r="Z160" s="16" t="n"/>
    </row>
    <row r="161" ht="12.75" customHeight="1" s="588">
      <c r="A161" s="748" t="inlineStr">
        <is>
          <t>Retribución Bruta</t>
        </is>
      </c>
      <c r="B161" s="596" t="n"/>
      <c r="C161" s="431">
        <f>IF(C162="n/a",C159+C160,(C159+C160)/(100%-C162))</f>
        <v/>
      </c>
      <c r="D161" s="358">
        <f>IF(D162="n/a",D159+D160,(D159+D160)/(100%-D162))</f>
        <v/>
      </c>
      <c r="E161" s="432">
        <f>IF(E162="n/a",E159+E160,(E159+E160)/(100%-E162))</f>
        <v/>
      </c>
      <c r="F161" s="1" t="n"/>
      <c r="G161" s="775" t="inlineStr">
        <is>
          <t>Retención IRPF</t>
        </is>
      </c>
      <c r="I161" s="358">
        <f>I159*I160</f>
        <v/>
      </c>
      <c r="J161" s="358">
        <f>J159*J160</f>
        <v/>
      </c>
      <c r="K161" s="358">
        <f>K159*K160</f>
        <v/>
      </c>
      <c r="L161" s="775" t="inlineStr">
        <is>
          <t>Retención IRPF</t>
        </is>
      </c>
      <c r="N161" s="358">
        <f>N159*N160</f>
        <v/>
      </c>
      <c r="O161" s="358">
        <f>O159*O160</f>
        <v/>
      </c>
      <c r="P161" s="432">
        <f>P159*P160</f>
        <v/>
      </c>
      <c r="Q161" s="16" t="n"/>
      <c r="R161" s="16" t="n"/>
      <c r="S161" s="16" t="n"/>
      <c r="T161" s="16" t="n"/>
      <c r="U161" s="16" t="n"/>
      <c r="V161" s="16" t="n"/>
      <c r="W161" s="16" t="n"/>
      <c r="X161" s="16" t="n"/>
      <c r="Y161" s="16" t="n"/>
      <c r="Z161" s="16" t="n"/>
    </row>
    <row r="162" ht="12.75" customHeight="1" s="588">
      <c r="A162" s="766" t="inlineStr">
        <is>
          <t>Retención IRPF</t>
        </is>
      </c>
      <c r="B162" s="599" t="n"/>
      <c r="C162" s="433">
        <f>IF($D$20=25%,15%,"n/a")</f>
        <v/>
      </c>
      <c r="D162" s="434">
        <f>IF($D$20=25%,15%,"n/a")</f>
        <v/>
      </c>
      <c r="E162" s="435">
        <f>IF($D$20=25%,15%,"n/a")</f>
        <v/>
      </c>
      <c r="F162" s="1" t="n"/>
      <c r="G162" s="775" t="inlineStr">
        <is>
          <t>SS Empresa</t>
        </is>
      </c>
      <c r="I162" s="358">
        <f>I159*30.6%</f>
        <v/>
      </c>
      <c r="J162" s="358">
        <f>J159*30.6%</f>
        <v/>
      </c>
      <c r="K162" s="358">
        <f>K159*30.6%</f>
        <v/>
      </c>
      <c r="L162" s="775" t="inlineStr">
        <is>
          <t>SS Empresa</t>
        </is>
      </c>
      <c r="N162" s="358">
        <f>N159*30.6%</f>
        <v/>
      </c>
      <c r="O162" s="358">
        <f>O159*30.6%</f>
        <v/>
      </c>
      <c r="P162" s="432">
        <f>P159*30.6%</f>
        <v/>
      </c>
      <c r="Q162" s="16" t="n"/>
      <c r="R162" s="16" t="n"/>
      <c r="S162" s="16" t="n"/>
      <c r="T162" s="16" t="n"/>
      <c r="U162" s="16" t="n"/>
      <c r="V162" s="16" t="n"/>
      <c r="W162" s="16" t="n"/>
      <c r="X162" s="16" t="n"/>
      <c r="Y162" s="16" t="n"/>
      <c r="Z162" s="16" t="n"/>
    </row>
    <row r="163" ht="12.75" customHeight="1" s="588">
      <c r="A163" s="72" t="n"/>
      <c r="B163" s="72" t="n"/>
      <c r="C163" s="1" t="n"/>
      <c r="D163" s="1" t="n"/>
      <c r="E163" s="1" t="n"/>
      <c r="F163" s="1" t="n"/>
      <c r="G163" s="775" t="inlineStr">
        <is>
          <t>SS Trabajador</t>
        </is>
      </c>
      <c r="I163" s="436">
        <f>I159*6.35%</f>
        <v/>
      </c>
      <c r="J163" s="436">
        <f>J159*6.35%</f>
        <v/>
      </c>
      <c r="K163" s="436">
        <f>K159*6.35%</f>
        <v/>
      </c>
      <c r="L163" s="777" t="inlineStr">
        <is>
          <t>SS Trabajador</t>
        </is>
      </c>
      <c r="M163" s="598" t="n"/>
      <c r="N163" s="437">
        <f>N159*6.35%</f>
        <v/>
      </c>
      <c r="O163" s="437">
        <f>O159*6.35%</f>
        <v/>
      </c>
      <c r="P163" s="438">
        <f>P159*6.35%</f>
        <v/>
      </c>
      <c r="Q163" s="16" t="n"/>
      <c r="R163" s="16" t="n"/>
      <c r="S163" s="16" t="n"/>
      <c r="T163" s="16" t="n"/>
      <c r="U163" s="16" t="n"/>
      <c r="V163" s="16" t="n"/>
      <c r="W163" s="16" t="n"/>
      <c r="X163" s="16" t="n"/>
      <c r="Y163" s="16" t="n"/>
      <c r="Z163" s="16" t="n"/>
    </row>
    <row r="164" ht="12.75" customHeight="1" s="588">
      <c r="A164" s="75" t="inlineStr">
        <is>
          <t>Empresario 4</t>
        </is>
      </c>
      <c r="C164" s="1" t="n"/>
      <c r="D164" s="1" t="n"/>
      <c r="E164" s="1" t="n"/>
      <c r="F164" s="1" t="n"/>
      <c r="G164" s="774" t="inlineStr">
        <is>
          <t>Empleado 4 (función):</t>
        </is>
      </c>
      <c r="H164" s="590" t="n"/>
      <c r="I164" s="364">
        <f>'CÓMO'!B615</f>
        <v/>
      </c>
      <c r="J164" s="590" t="n"/>
      <c r="K164" s="590" t="n"/>
      <c r="L164" s="774" t="inlineStr">
        <is>
          <t>Empleado 8 (función):</t>
        </is>
      </c>
      <c r="M164" s="590" t="n"/>
      <c r="N164" s="364">
        <f>'CÓMO'!B627</f>
        <v/>
      </c>
      <c r="O164" s="590" t="n"/>
      <c r="P164" s="590" t="n"/>
      <c r="Q164" s="16" t="n"/>
      <c r="R164" s="16" t="n"/>
      <c r="S164" s="16" t="n"/>
      <c r="T164" s="16" t="n"/>
      <c r="U164" s="16" t="n"/>
      <c r="V164" s="16" t="n"/>
      <c r="W164" s="16" t="n"/>
      <c r="X164" s="16" t="n"/>
      <c r="Y164" s="16" t="n"/>
      <c r="Z164" s="16" t="n"/>
    </row>
    <row r="165" ht="12.75" customHeight="1" s="588">
      <c r="A165" s="759" t="inlineStr">
        <is>
          <t>Líquido Anual</t>
        </is>
      </c>
      <c r="B165" s="594" t="n"/>
      <c r="C165" s="422" t="n"/>
      <c r="D165" s="423">
        <f>C165*(100%+$H$25)</f>
        <v/>
      </c>
      <c r="E165" s="424">
        <f>D165*(100%+$H$25)</f>
        <v/>
      </c>
      <c r="F165" s="1" t="n"/>
      <c r="G165" s="775" t="inlineStr">
        <is>
          <t>Bruto anual</t>
        </is>
      </c>
      <c r="I165" s="358">
        <f>'CÓMO'!E615</f>
        <v/>
      </c>
      <c r="J165" s="358">
        <f>'CÓMO'!F615</f>
        <v/>
      </c>
      <c r="K165" s="358">
        <f>'CÓMO'!G615</f>
        <v/>
      </c>
      <c r="L165" s="776" t="inlineStr">
        <is>
          <t>Bruto anual</t>
        </is>
      </c>
      <c r="M165" s="593" t="n"/>
      <c r="N165" s="425">
        <f>'CÓMO'!E627</f>
        <v/>
      </c>
      <c r="O165" s="425">
        <f>'CÓMO'!F627</f>
        <v/>
      </c>
      <c r="P165" s="426">
        <f>'CÓMO'!G627</f>
        <v/>
      </c>
      <c r="Q165" s="16" t="n"/>
      <c r="R165" s="16" t="n"/>
      <c r="S165" s="16" t="n"/>
      <c r="T165" s="16" t="n"/>
      <c r="U165" s="16" t="n"/>
      <c r="V165" s="16" t="n"/>
      <c r="W165" s="16" t="n"/>
      <c r="X165" s="16" t="n"/>
      <c r="Y165" s="16" t="n"/>
      <c r="Z165" s="16" t="n"/>
    </row>
    <row r="166" ht="12.75" customHeight="1" s="588">
      <c r="A166" s="748" t="inlineStr">
        <is>
          <t>SS</t>
        </is>
      </c>
      <c r="B166" s="596" t="n"/>
      <c r="C166" s="427" t="n"/>
      <c r="D166" s="406">
        <f>C166*(100%+$H$25)</f>
        <v/>
      </c>
      <c r="E166" s="428">
        <f>D166*(100%+$H$25)</f>
        <v/>
      </c>
      <c r="F166" s="1" t="n"/>
      <c r="G166" s="775" t="inlineStr">
        <is>
          <t>% Retencion IRPF</t>
        </is>
      </c>
      <c r="I166" s="429" t="n"/>
      <c r="J166" s="429">
        <f>I166</f>
        <v/>
      </c>
      <c r="K166" s="430">
        <f>J166</f>
        <v/>
      </c>
      <c r="L166" s="775" t="inlineStr">
        <is>
          <t>% Retencion IRPF</t>
        </is>
      </c>
      <c r="N166" s="429" t="n"/>
      <c r="O166" s="429">
        <f>N166</f>
        <v/>
      </c>
      <c r="P166" s="430">
        <f>O166</f>
        <v/>
      </c>
      <c r="Q166" s="16" t="n"/>
      <c r="R166" s="16" t="n"/>
      <c r="S166" s="16" t="n"/>
      <c r="T166" s="16" t="n"/>
      <c r="U166" s="16" t="n"/>
      <c r="V166" s="16" t="n"/>
      <c r="W166" s="16" t="n"/>
      <c r="X166" s="16" t="n"/>
      <c r="Y166" s="16" t="n"/>
      <c r="Z166" s="16" t="n"/>
    </row>
    <row r="167" ht="12.75" customHeight="1" s="588">
      <c r="A167" s="748" t="inlineStr">
        <is>
          <t>Retribución Bruta</t>
        </is>
      </c>
      <c r="B167" s="596" t="n"/>
      <c r="C167" s="431">
        <f>IF(C168="n/a",C165+C166,(C165+C166)/(100%-C168))</f>
        <v/>
      </c>
      <c r="D167" s="358">
        <f>IF(D168="n/a",D165+D166,(D165+D166)/(100%-D168))</f>
        <v/>
      </c>
      <c r="E167" s="432">
        <f>IF(E168="n/a",E165+E166,(E165+E166)/(100%-E168))</f>
        <v/>
      </c>
      <c r="F167" s="1" t="n"/>
      <c r="G167" s="775" t="inlineStr">
        <is>
          <t>Retención IRPF</t>
        </is>
      </c>
      <c r="I167" s="358">
        <f>I165*I166</f>
        <v/>
      </c>
      <c r="J167" s="358">
        <f>J165*J166</f>
        <v/>
      </c>
      <c r="K167" s="358">
        <f>K165*K166</f>
        <v/>
      </c>
      <c r="L167" s="775" t="inlineStr">
        <is>
          <t>Retención IRPF</t>
        </is>
      </c>
      <c r="N167" s="358">
        <f>N165*N166</f>
        <v/>
      </c>
      <c r="O167" s="358">
        <f>O165*O166</f>
        <v/>
      </c>
      <c r="P167" s="432">
        <f>P165*P166</f>
        <v/>
      </c>
      <c r="Q167" s="16" t="n"/>
      <c r="R167" s="16" t="n"/>
      <c r="S167" s="16" t="n"/>
      <c r="T167" s="16" t="n"/>
      <c r="U167" s="16" t="n"/>
      <c r="V167" s="16" t="n"/>
      <c r="W167" s="16" t="n"/>
      <c r="X167" s="16" t="n"/>
      <c r="Y167" s="16" t="n"/>
      <c r="Z167" s="16" t="n"/>
    </row>
    <row r="168" ht="12.75" customHeight="1" s="588">
      <c r="A168" s="766" t="inlineStr">
        <is>
          <t>Retención IRPF</t>
        </is>
      </c>
      <c r="B168" s="599" t="n"/>
      <c r="C168" s="433">
        <f>IF($D$20=25%,15%,"n/a")</f>
        <v/>
      </c>
      <c r="D168" s="434">
        <f>IF($D$20=25%,15%,"n/a")</f>
        <v/>
      </c>
      <c r="E168" s="435">
        <f>IF($D$20=25%,15%,"n/a")</f>
        <v/>
      </c>
      <c r="F168" s="1" t="n"/>
      <c r="G168" s="775" t="inlineStr">
        <is>
          <t>SS Empresa</t>
        </is>
      </c>
      <c r="I168" s="358">
        <f>I165*30.6%</f>
        <v/>
      </c>
      <c r="J168" s="358">
        <f>J165*30.6%</f>
        <v/>
      </c>
      <c r="K168" s="358">
        <f>K165*30.6%</f>
        <v/>
      </c>
      <c r="L168" s="775" t="inlineStr">
        <is>
          <t>SS Empresa</t>
        </is>
      </c>
      <c r="N168" s="358">
        <f>N165*30.6%</f>
        <v/>
      </c>
      <c r="O168" s="358">
        <f>O165*30.6%</f>
        <v/>
      </c>
      <c r="P168" s="432">
        <f>P165*30.6%</f>
        <v/>
      </c>
      <c r="Q168" s="16" t="n"/>
      <c r="R168" s="16" t="n"/>
      <c r="S168" s="16" t="n"/>
      <c r="T168" s="16" t="n"/>
      <c r="U168" s="16" t="n"/>
      <c r="V168" s="16" t="n"/>
      <c r="W168" s="16" t="n"/>
      <c r="X168" s="16" t="n"/>
      <c r="Y168" s="16" t="n"/>
      <c r="Z168" s="16" t="n"/>
    </row>
    <row r="169" ht="12.75" customHeight="1" s="588">
      <c r="A169" s="1" t="n"/>
      <c r="B169" s="1" t="n"/>
      <c r="C169" s="1" t="n"/>
      <c r="D169" s="1" t="n"/>
      <c r="E169" s="1" t="n"/>
      <c r="F169" s="1" t="n"/>
      <c r="G169" s="777" t="inlineStr">
        <is>
          <t>SS Trabajador</t>
        </is>
      </c>
      <c r="H169" s="598" t="n"/>
      <c r="I169" s="437">
        <f>I165*6.35%</f>
        <v/>
      </c>
      <c r="J169" s="437">
        <f>J165*6.35%</f>
        <v/>
      </c>
      <c r="K169" s="437">
        <f>K165*6.35%</f>
        <v/>
      </c>
      <c r="L169" s="777" t="inlineStr">
        <is>
          <t>SS Trabajador</t>
        </is>
      </c>
      <c r="M169" s="598" t="n"/>
      <c r="N169" s="437">
        <f>N165*6.35%</f>
        <v/>
      </c>
      <c r="O169" s="437">
        <f>O165*6.35%</f>
        <v/>
      </c>
      <c r="P169" s="438">
        <f>P165*6.35%</f>
        <v/>
      </c>
      <c r="Q169" s="16" t="n"/>
      <c r="R169" s="16" t="n"/>
      <c r="S169" s="16" t="n"/>
      <c r="T169" s="16" t="n"/>
      <c r="U169" s="16" t="n"/>
      <c r="V169" s="16" t="n"/>
      <c r="W169" s="16" t="n"/>
      <c r="X169" s="16" t="n"/>
      <c r="Y169" s="16" t="n"/>
      <c r="Z169" s="16" t="n"/>
    </row>
    <row r="170" ht="12.75" customHeight="1" s="588">
      <c r="A170" s="1" t="n"/>
      <c r="B170" s="1" t="n"/>
      <c r="C170" s="83" t="n"/>
      <c r="D170" s="83" t="n"/>
      <c r="E170" s="83" t="n"/>
      <c r="F170" s="1" t="n"/>
      <c r="G170" s="72" t="n"/>
      <c r="I170" s="436" t="n"/>
      <c r="J170" s="436" t="n"/>
      <c r="K170" s="436" t="n"/>
      <c r="L170" s="72" t="n"/>
      <c r="N170" s="436" t="n"/>
      <c r="O170" s="436" t="n"/>
      <c r="P170" s="436" t="n"/>
      <c r="Q170" s="16" t="n"/>
      <c r="R170" s="16" t="n"/>
      <c r="S170" s="16" t="n"/>
      <c r="T170" s="16" t="n"/>
      <c r="U170" s="16" t="n"/>
      <c r="V170" s="16" t="n"/>
      <c r="W170" s="16" t="n"/>
      <c r="X170" s="16" t="n"/>
      <c r="Y170" s="16" t="n"/>
      <c r="Z170" s="16" t="n"/>
    </row>
    <row r="171" ht="12.75" customHeight="1" s="588">
      <c r="A171" s="309" t="inlineStr">
        <is>
          <t>EMPRESARIOS</t>
        </is>
      </c>
      <c r="B171" s="591" t="n"/>
      <c r="C171" s="309" t="inlineStr">
        <is>
          <t>AÑO 1</t>
        </is>
      </c>
      <c r="D171" s="309" t="inlineStr">
        <is>
          <t>AÑO 2</t>
        </is>
      </c>
      <c r="E171" s="309" t="inlineStr">
        <is>
          <t>AÑO 3</t>
        </is>
      </c>
      <c r="F171" s="1" t="n"/>
      <c r="G171" s="1" t="n"/>
      <c r="H171" s="1" t="n"/>
      <c r="I171" s="1" t="n"/>
      <c r="J171" s="1" t="n"/>
      <c r="K171" s="1" t="n"/>
      <c r="L171" s="309" t="inlineStr">
        <is>
          <t>EMPLEADOS</t>
        </is>
      </c>
      <c r="M171" s="591" t="n"/>
      <c r="N171" s="309" t="inlineStr">
        <is>
          <t>AÑO 1</t>
        </is>
      </c>
      <c r="O171" s="309" t="inlineStr">
        <is>
          <t>AÑO 2</t>
        </is>
      </c>
      <c r="P171" s="309" t="inlineStr">
        <is>
          <t>AÑO 3</t>
        </is>
      </c>
      <c r="Q171" s="16" t="n"/>
      <c r="R171" s="16" t="n"/>
      <c r="S171" s="16" t="n"/>
      <c r="T171" s="16" t="n"/>
      <c r="U171" s="16" t="n"/>
      <c r="V171" s="16" t="n"/>
      <c r="W171" s="16" t="n"/>
      <c r="X171" s="16" t="n"/>
      <c r="Y171" s="16" t="n"/>
      <c r="Z171" s="16" t="n"/>
    </row>
    <row r="172" ht="12.75" customHeight="1" s="588">
      <c r="A172" s="778" t="inlineStr">
        <is>
          <t>TOTAL RETRIB. LIQ.</t>
        </is>
      </c>
      <c r="B172" s="599" t="n"/>
      <c r="C172" s="359">
        <f>C147+C153+C159+C165</f>
        <v/>
      </c>
      <c r="D172" s="359">
        <f>D147+D153+D159+D165</f>
        <v/>
      </c>
      <c r="E172" s="359">
        <f>E147+E153+E159+E165</f>
        <v/>
      </c>
      <c r="F172" s="1" t="n"/>
      <c r="G172" s="401" t="n"/>
      <c r="I172" s="83" t="n"/>
      <c r="J172" s="83" t="n"/>
      <c r="K172" s="83" t="n"/>
      <c r="L172" s="779" t="inlineStr">
        <is>
          <t>TOTAL COSTE SALARIAL</t>
        </is>
      </c>
      <c r="M172" s="591" t="n"/>
      <c r="N172" s="443">
        <f>I147+I150+I153+I156+I159+I162+I165+I168+N147+N150+N153+N156+N159+N162+N165+N168</f>
        <v/>
      </c>
      <c r="O172" s="443">
        <f>J147+J150+J153+J156+J159+J162+J165+J168+O147+O150+O153+O156+O159+O162+O165+O168</f>
        <v/>
      </c>
      <c r="P172" s="444">
        <f>K147+K150+K153+K156+K159+K162+K165+K168+P147+P150+P153+P156+P159+P162+P165+P168</f>
        <v/>
      </c>
      <c r="Q172" s="16" t="n"/>
      <c r="R172" s="16" t="n"/>
      <c r="S172" s="16" t="n"/>
      <c r="T172" s="16" t="n"/>
      <c r="U172" s="16" t="n"/>
      <c r="V172" s="16" t="n"/>
      <c r="W172" s="16" t="n"/>
      <c r="X172" s="16" t="n"/>
      <c r="Y172" s="16" t="n"/>
      <c r="Z172" s="16" t="n"/>
    </row>
    <row r="173" ht="12.75" customHeight="1" s="588">
      <c r="A173" s="780" t="inlineStr">
        <is>
          <t>SS</t>
        </is>
      </c>
      <c r="B173" s="591" t="n"/>
      <c r="C173" s="446">
        <f>IF($D$20=25%,0,C148+C154+C160+C166)</f>
        <v/>
      </c>
      <c r="D173" s="446">
        <f>IF($D$20=25%,0,D148+D154+D160+D166)</f>
        <v/>
      </c>
      <c r="E173" s="446">
        <f>IF($D$20=25%,0,E148+E154+E160+E166)</f>
        <v/>
      </c>
      <c r="F173" s="1" t="n"/>
      <c r="G173" s="401" t="n"/>
      <c r="I173" s="358" t="n"/>
      <c r="J173" s="358" t="n"/>
      <c r="K173" s="358" t="n"/>
      <c r="L173" s="780" t="inlineStr">
        <is>
          <t>TOTAL NÓMINAS</t>
        </is>
      </c>
      <c r="M173" s="591" t="n"/>
      <c r="N173" s="447">
        <f>I147-I149-I151+I153-I155-I157+I159-I161-I163+I165-I167-I169+N147-N149-N151+N153-N155-N157+N159-N161-N163+N165-N167-N169</f>
        <v/>
      </c>
      <c r="O173" s="447">
        <f>J147-J149-J151+J153-J155-J157+J159-J161-J163+J165-J167-J169+O147-O149-O151+O153-O155-O157+O159-O161-O163+O165-O167-O169</f>
        <v/>
      </c>
      <c r="P173" s="359">
        <f>K147-K149-K151+K153-K155-K157+K159-K161-K163+K165-K167-K169+P147-P149-P151+P153-P155-P157+P159-P161-P163+P165-P167-P169</f>
        <v/>
      </c>
      <c r="Q173" s="16" t="n"/>
      <c r="R173" s="16" t="n"/>
      <c r="S173" s="16" t="n"/>
      <c r="T173" s="16" t="n"/>
      <c r="U173" s="16" t="n"/>
      <c r="V173" s="16" t="n"/>
      <c r="W173" s="16" t="n"/>
      <c r="X173" s="16" t="n"/>
      <c r="Y173" s="16" t="n"/>
      <c r="Z173" s="16" t="n"/>
    </row>
    <row r="174" ht="12.75" customHeight="1" s="588">
      <c r="A174" s="780" t="inlineStr">
        <is>
          <t>COSTE SALARIAL</t>
        </is>
      </c>
      <c r="B174" s="591" t="n"/>
      <c r="C174" s="359">
        <f>IF(C156="n/a",0,(C147+C148+C153+C154+C159+C160+C165+C166)/(100%-C150)+IF($G$13=0%,$G$15*(C147+C148+C153+C154+C159+C160+C165+C166)/(100%-C150),0))</f>
        <v/>
      </c>
      <c r="D174" s="359">
        <f>IF(D156="n/a",0,(D147+D148+D153+D154+D159+D160+D165+D166)/(100%-D150)+IF($G$13=0%,$G$15*(D147+D148+D153+D154+D159+D160+D165+D166)/(100%-D150),0))</f>
        <v/>
      </c>
      <c r="E174" s="359">
        <f>IF(E156="n/a",0,(E147+E148+E153+E154+E159+E160+E165+E166)/(100%-E150)+IF($G$13=0%,$G$15*(E147+E148+E153+E154+E159+E160+E165+E166)/(100%-E150),0))</f>
        <v/>
      </c>
      <c r="F174" s="1" t="n"/>
      <c r="G174" s="401" t="n"/>
      <c r="I174" s="358" t="n"/>
      <c r="J174" s="358" t="n"/>
      <c r="K174" s="358" t="n"/>
      <c r="L174" s="780" t="inlineStr">
        <is>
          <t>TOTAL PAGOS SS</t>
        </is>
      </c>
      <c r="M174" s="591" t="n"/>
      <c r="N174" s="447">
        <f>I150+I151+I156+I157+I162+I163+I168+I169+N150+N151+N156+N157+N162+N163+N168+N169</f>
        <v/>
      </c>
      <c r="O174" s="447">
        <f>J150+J151+J156+J157+J162+J163+J168+J169+O150+O151+O156+O157+O162+O163+O168+O169</f>
        <v/>
      </c>
      <c r="P174" s="359">
        <f>K150+K151+K156+K157+K162+K163+K168+K169+P150+P151+P156+P157+P162+P163+P168+P169</f>
        <v/>
      </c>
      <c r="Q174" s="16" t="n"/>
      <c r="R174" s="16" t="n"/>
      <c r="S174" s="16" t="n"/>
      <c r="T174" s="16" t="n"/>
      <c r="U174" s="16" t="n"/>
      <c r="V174" s="16" t="n"/>
      <c r="W174" s="16" t="n"/>
      <c r="X174" s="16" t="n"/>
      <c r="Y174" s="16" t="n"/>
      <c r="Z174" s="16" t="n"/>
    </row>
    <row r="175" ht="12.75" customHeight="1" s="588">
      <c r="A175" s="780" t="inlineStr">
        <is>
          <t>TOTAL RETENCIONES</t>
        </is>
      </c>
      <c r="B175" s="591" t="n"/>
      <c r="C175" s="446">
        <f>IF($D$20&lt;&gt;25%,0,IF($D$13&lt;&gt;0%,C150*C174,C150*(C147+C148+C153+C154+C159+C160+C165+C166)/(100%-C150)))</f>
        <v/>
      </c>
      <c r="D175" s="446">
        <f>IF($D$20&lt;&gt;25%,0,IF($D$13&lt;&gt;0%,D150*D174,D150*(D147+D148+D153+D154+D159+D160+D165+D166)/(100%-D150)))</f>
        <v/>
      </c>
      <c r="E175" s="446">
        <f>IF($D$20&lt;&gt;25%,0,IF($D$13&lt;&gt;0%,E150*E174,E150*(E147+E148+E153+E154+E159+E160+E165+E166)/(100%-E150)))</f>
        <v/>
      </c>
      <c r="F175" s="1" t="n"/>
      <c r="G175" s="401" t="n"/>
      <c r="I175" s="358" t="n"/>
      <c r="J175" s="358" t="n"/>
      <c r="K175" s="358" t="n"/>
      <c r="L175" s="780" t="inlineStr">
        <is>
          <t>TOTAL RETENCIONES</t>
        </is>
      </c>
      <c r="M175" s="591" t="n"/>
      <c r="N175" s="447">
        <f>I149+I155+I161+I167+N149+N155+N161+N167</f>
        <v/>
      </c>
      <c r="O175" s="447">
        <f>J149+J155+J161+J167+O149+O155+O161+O167</f>
        <v/>
      </c>
      <c r="P175" s="359">
        <f>K149+K155+K161+K167+P149+P155+P161+P167</f>
        <v/>
      </c>
      <c r="Q175" s="16" t="n"/>
      <c r="R175" s="16" t="n"/>
      <c r="S175" s="16" t="n"/>
      <c r="T175" s="16" t="n"/>
      <c r="U175" s="16" t="n"/>
      <c r="V175" s="16" t="n"/>
      <c r="W175" s="16" t="n"/>
      <c r="X175" s="16" t="n"/>
      <c r="Y175" s="16" t="n"/>
      <c r="Z175" s="16" t="n"/>
    </row>
    <row r="176" ht="12.75" customHeight="1" s="588">
      <c r="A176" s="8" t="inlineStr">
        <is>
          <t>¿CUÁNTO Y CUÁNDO?</t>
        </is>
      </c>
      <c r="B176" s="1" t="n"/>
      <c r="C176" s="1" t="n"/>
      <c r="D176" s="1" t="n"/>
      <c r="E176" s="1" t="n"/>
      <c r="F176" s="1" t="n"/>
      <c r="G176" s="1" t="n"/>
      <c r="H176" s="1" t="n"/>
      <c r="I176" s="1" t="n"/>
      <c r="J176" s="185" t="n"/>
      <c r="K176" s="185" t="n"/>
      <c r="L176" s="1" t="n"/>
      <c r="M176" s="1" t="n"/>
      <c r="N176" s="1" t="n"/>
      <c r="O176" s="1" t="n"/>
      <c r="P176" s="185" t="inlineStr">
        <is>
          <t>Plan Financiero</t>
        </is>
      </c>
      <c r="Q176" s="16" t="n"/>
      <c r="R176" s="16" t="n"/>
      <c r="S176" s="16" t="n"/>
      <c r="T176" s="16" t="n"/>
      <c r="U176" s="16" t="n"/>
      <c r="V176" s="16" t="n"/>
      <c r="W176" s="16" t="n"/>
      <c r="X176" s="16" t="n"/>
      <c r="Y176" s="16" t="n"/>
      <c r="Z176" s="16" t="n"/>
    </row>
    <row r="177" ht="12.75" customHeight="1" s="588">
      <c r="A177" s="1" t="n"/>
      <c r="B177" s="1" t="n"/>
      <c r="C177" s="1" t="n"/>
      <c r="D177" s="1" t="n"/>
      <c r="E177" s="1" t="n"/>
      <c r="F177" s="768" t="inlineStr">
        <is>
          <t>CUENTA DE PÉRDIDAS Y GANANCIAS AÑO 1</t>
        </is>
      </c>
      <c r="G177" s="649" t="n"/>
      <c r="H177" s="649" t="n"/>
      <c r="I177" s="649" t="n"/>
      <c r="J177" s="649" t="n"/>
      <c r="K177" s="647" t="n"/>
      <c r="L177" s="1" t="n"/>
      <c r="M177" s="1" t="n"/>
      <c r="N177" s="1" t="n"/>
      <c r="O177" s="1" t="n"/>
      <c r="P177" s="1" t="n"/>
      <c r="Q177" s="16" t="n"/>
      <c r="R177" s="16" t="n"/>
      <c r="S177" s="16" t="n"/>
      <c r="T177" s="16" t="n"/>
      <c r="U177" s="16" t="n"/>
      <c r="V177" s="16" t="n"/>
      <c r="W177" s="16" t="n"/>
      <c r="X177" s="16" t="n"/>
      <c r="Y177" s="16" t="n"/>
      <c r="Z177" s="16" t="n"/>
    </row>
    <row r="178" ht="12.75" customHeight="1" s="588">
      <c r="A178" s="448" t="n"/>
      <c r="B178" s="449" t="n"/>
      <c r="C178" s="449" t="n"/>
      <c r="D178" s="450" t="n"/>
      <c r="E178" s="449" t="n"/>
      <c r="F178" s="449" t="n"/>
      <c r="G178" s="449" t="n"/>
      <c r="H178" s="451" t="n"/>
      <c r="I178" s="451" t="inlineStr">
        <is>
          <t>TODOS LOS DATOS SON</t>
        </is>
      </c>
      <c r="J178" s="452">
        <f>IF(G13=0%,"CON IVA","SIN IVA")</f>
        <v/>
      </c>
      <c r="K178" s="449" t="n"/>
      <c r="L178" s="449" t="n"/>
      <c r="M178" s="449" t="n"/>
      <c r="N178" s="449" t="n"/>
      <c r="O178" s="449" t="n"/>
      <c r="P178" s="453" t="n"/>
      <c r="Q178" s="16" t="n"/>
      <c r="R178" s="16" t="n"/>
      <c r="S178" s="16" t="n"/>
      <c r="T178" s="16" t="n"/>
      <c r="U178" s="16" t="n"/>
      <c r="V178" s="16" t="n"/>
      <c r="W178" s="16" t="n"/>
      <c r="X178" s="16" t="n"/>
      <c r="Y178" s="16" t="n"/>
      <c r="Z178" s="16" t="n"/>
    </row>
    <row r="179" ht="12.75" customHeight="1" s="588">
      <c r="A179" s="781" t="n"/>
      <c r="C179" s="455" t="inlineStr">
        <is>
          <t>Mes 1</t>
        </is>
      </c>
      <c r="D179" s="455" t="inlineStr">
        <is>
          <t>Mes 2</t>
        </is>
      </c>
      <c r="E179" s="455" t="inlineStr">
        <is>
          <t>Mes 3</t>
        </is>
      </c>
      <c r="F179" s="455" t="inlineStr">
        <is>
          <t>Mes 4</t>
        </is>
      </c>
      <c r="G179" s="455" t="inlineStr">
        <is>
          <t>Mes 5</t>
        </is>
      </c>
      <c r="H179" s="455" t="inlineStr">
        <is>
          <t>Mes 6</t>
        </is>
      </c>
      <c r="I179" s="455" t="inlineStr">
        <is>
          <t>Mes 7</t>
        </is>
      </c>
      <c r="J179" s="455" t="inlineStr">
        <is>
          <t>Mes 8</t>
        </is>
      </c>
      <c r="K179" s="455" t="inlineStr">
        <is>
          <t>Mes 9</t>
        </is>
      </c>
      <c r="L179" s="455" t="inlineStr">
        <is>
          <t>Mes 10</t>
        </is>
      </c>
      <c r="M179" s="455" t="inlineStr">
        <is>
          <t>Mes 11</t>
        </is>
      </c>
      <c r="N179" s="455" t="inlineStr">
        <is>
          <t>Mes 12</t>
        </is>
      </c>
      <c r="O179" s="456" t="inlineStr">
        <is>
          <t>TOTAL</t>
        </is>
      </c>
      <c r="P179" s="312" t="n"/>
      <c r="Q179" s="16" t="n"/>
      <c r="R179" s="16" t="n"/>
      <c r="S179" s="16" t="n"/>
      <c r="T179" s="16" t="n"/>
      <c r="U179" s="16" t="n"/>
      <c r="V179" s="16" t="n"/>
      <c r="W179" s="16" t="n"/>
      <c r="X179" s="16" t="n"/>
      <c r="Y179" s="16" t="n"/>
      <c r="Z179" s="16" t="n"/>
    </row>
    <row r="180" ht="12.75" customHeight="1" s="588">
      <c r="A180" s="782" t="inlineStr">
        <is>
          <t>VENTAS</t>
        </is>
      </c>
      <c r="B180" s="591" t="n"/>
      <c r="C180" s="458">
        <f>C124</f>
        <v/>
      </c>
      <c r="D180" s="459">
        <f>D124</f>
        <v/>
      </c>
      <c r="E180" s="459">
        <f>E124</f>
        <v/>
      </c>
      <c r="F180" s="459">
        <f>F124</f>
        <v/>
      </c>
      <c r="G180" s="459">
        <f>G124</f>
        <v/>
      </c>
      <c r="H180" s="459">
        <f>H124</f>
        <v/>
      </c>
      <c r="I180" s="459">
        <f>I124</f>
        <v/>
      </c>
      <c r="J180" s="459">
        <f>J124</f>
        <v/>
      </c>
      <c r="K180" s="459">
        <f>K124</f>
        <v/>
      </c>
      <c r="L180" s="459">
        <f>L124</f>
        <v/>
      </c>
      <c r="M180" s="459">
        <f>M124</f>
        <v/>
      </c>
      <c r="N180" s="460">
        <f>N124</f>
        <v/>
      </c>
      <c r="O180" s="359">
        <f>SUM(C180:N180)</f>
        <v/>
      </c>
      <c r="P180" s="461" t="n">
        <v>1</v>
      </c>
      <c r="Q180" s="16" t="n"/>
      <c r="R180" s="16" t="n"/>
      <c r="S180" s="16" t="n"/>
      <c r="T180" s="16" t="n"/>
      <c r="U180" s="16" t="n"/>
      <c r="V180" s="16" t="n"/>
      <c r="W180" s="16" t="n"/>
      <c r="X180" s="16" t="n"/>
      <c r="Y180" s="16" t="n"/>
      <c r="Z180" s="16" t="n"/>
    </row>
    <row r="181" ht="12.75" customHeight="1" s="588">
      <c r="A181" s="455" t="inlineStr">
        <is>
          <t>Coste de Ventas</t>
        </is>
      </c>
      <c r="C181" s="358">
        <f>-C180*(100%-$J$117)</f>
        <v/>
      </c>
      <c r="D181" s="358">
        <f>-D180*(100%-$J$117)</f>
        <v/>
      </c>
      <c r="E181" s="358">
        <f>-E180*(100%-$J$117)</f>
        <v/>
      </c>
      <c r="F181" s="358">
        <f>-F180*(100%-$J$117)</f>
        <v/>
      </c>
      <c r="G181" s="358">
        <f>-G180*(100%-$J$117)</f>
        <v/>
      </c>
      <c r="H181" s="358">
        <f>-H180*(100%-$J$117)</f>
        <v/>
      </c>
      <c r="I181" s="358">
        <f>-I180*(100%-$J$117)</f>
        <v/>
      </c>
      <c r="J181" s="358">
        <f>-J180*(100%-$J$117)</f>
        <v/>
      </c>
      <c r="K181" s="358">
        <f>-K180*(100%-$J$117)</f>
        <v/>
      </c>
      <c r="L181" s="358">
        <f>-L180*(100%-$J$117)</f>
        <v/>
      </c>
      <c r="M181" s="358">
        <f>-M180*(100%-$J$117)</f>
        <v/>
      </c>
      <c r="N181" s="358">
        <f>-N180*(100%-$J$117)</f>
        <v/>
      </c>
      <c r="O181" s="359">
        <f>SUM(C181:N181)</f>
        <v/>
      </c>
      <c r="P181" s="463">
        <f>IF($O$180=0,"",-O181/$O$180)</f>
        <v/>
      </c>
      <c r="Q181" s="16" t="n"/>
      <c r="R181" s="16" t="n"/>
      <c r="S181" s="16" t="n"/>
      <c r="T181" s="16" t="n"/>
      <c r="U181" s="16" t="n"/>
      <c r="V181" s="16" t="n"/>
      <c r="W181" s="16" t="n"/>
      <c r="X181" s="16" t="n"/>
      <c r="Y181" s="16" t="n"/>
      <c r="Z181" s="16" t="n"/>
    </row>
    <row r="182" ht="12.75" customHeight="1" s="588">
      <c r="A182" s="783" t="inlineStr">
        <is>
          <t>MARGEN BRUTO</t>
        </is>
      </c>
      <c r="B182" s="591" t="n"/>
      <c r="C182" s="447">
        <f>C180+C181</f>
        <v/>
      </c>
      <c r="D182" s="465">
        <f>D180+D181</f>
        <v/>
      </c>
      <c r="E182" s="465">
        <f>E180+E181</f>
        <v/>
      </c>
      <c r="F182" s="465">
        <f>F180+F181</f>
        <v/>
      </c>
      <c r="G182" s="465">
        <f>G180+G181</f>
        <v/>
      </c>
      <c r="H182" s="465">
        <f>H180+H181</f>
        <v/>
      </c>
      <c r="I182" s="465">
        <f>I180+I181</f>
        <v/>
      </c>
      <c r="J182" s="465">
        <f>J180+J181</f>
        <v/>
      </c>
      <c r="K182" s="465">
        <f>K180+K181</f>
        <v/>
      </c>
      <c r="L182" s="465">
        <f>L180+L181</f>
        <v/>
      </c>
      <c r="M182" s="465">
        <f>M180+M181</f>
        <v/>
      </c>
      <c r="N182" s="466">
        <f>N180+N181</f>
        <v/>
      </c>
      <c r="O182" s="359">
        <f>O180+O181</f>
        <v/>
      </c>
      <c r="P182" s="463">
        <f>IF($O$180=0,"",O182/$O$180)</f>
        <v/>
      </c>
      <c r="Q182" s="16" t="n"/>
      <c r="R182" s="16" t="n"/>
      <c r="S182" s="16" t="n"/>
      <c r="T182" s="16" t="n"/>
      <c r="U182" s="16" t="n"/>
      <c r="V182" s="16" t="n"/>
      <c r="W182" s="16" t="n"/>
      <c r="X182" s="16" t="n"/>
      <c r="Y182" s="16" t="n"/>
      <c r="Z182" s="16" t="n"/>
    </row>
    <row r="183" ht="12.75" customHeight="1" s="588">
      <c r="A183" s="503" t="inlineStr">
        <is>
          <t>Retrib.  Empresarios</t>
        </is>
      </c>
      <c r="C183" s="358">
        <f>IF($D$20=25%,-C174/12,-C172/12)</f>
        <v/>
      </c>
      <c r="D183" s="358">
        <f>C183</f>
        <v/>
      </c>
      <c r="E183" s="358">
        <f>D183</f>
        <v/>
      </c>
      <c r="F183" s="358">
        <f>E183</f>
        <v/>
      </c>
      <c r="G183" s="358">
        <f>F183</f>
        <v/>
      </c>
      <c r="H183" s="358">
        <f>G183</f>
        <v/>
      </c>
      <c r="I183" s="358">
        <f>H183</f>
        <v/>
      </c>
      <c r="J183" s="358">
        <f>I183</f>
        <v/>
      </c>
      <c r="K183" s="358">
        <f>J183</f>
        <v/>
      </c>
      <c r="L183" s="358">
        <f>K183</f>
        <v/>
      </c>
      <c r="M183" s="358">
        <f>L183</f>
        <v/>
      </c>
      <c r="N183" s="358">
        <f>M183</f>
        <v/>
      </c>
      <c r="O183" s="444">
        <f>SUM(C183:N183)</f>
        <v/>
      </c>
      <c r="P183" s="463">
        <f>IF($O$180=0,"",-O183/$O$180)</f>
        <v/>
      </c>
      <c r="Q183" s="16" t="n"/>
      <c r="R183" s="16" t="n"/>
      <c r="S183" s="16" t="n"/>
      <c r="T183" s="16" t="n"/>
      <c r="U183" s="16" t="n"/>
      <c r="V183" s="16" t="n"/>
      <c r="W183" s="16" t="n"/>
      <c r="X183" s="16" t="n"/>
      <c r="Y183" s="16" t="n"/>
      <c r="Z183" s="16" t="n"/>
    </row>
    <row r="184" ht="12.75" customHeight="1" s="588">
      <c r="A184" s="784" t="inlineStr">
        <is>
          <t>Salarios Trab. y SS</t>
        </is>
      </c>
      <c r="C184" s="358">
        <f>-N172/12+IF(C150="n/a",-C173/12,0)</f>
        <v/>
      </c>
      <c r="D184" s="358">
        <f>C184</f>
        <v/>
      </c>
      <c r="E184" s="358">
        <f>D184</f>
        <v/>
      </c>
      <c r="F184" s="358">
        <f>E184</f>
        <v/>
      </c>
      <c r="G184" s="358">
        <f>F184</f>
        <v/>
      </c>
      <c r="H184" s="358">
        <f>G184</f>
        <v/>
      </c>
      <c r="I184" s="358">
        <f>H184</f>
        <v/>
      </c>
      <c r="J184" s="358">
        <f>I184</f>
        <v/>
      </c>
      <c r="K184" s="358">
        <f>J184</f>
        <v/>
      </c>
      <c r="L184" s="358">
        <f>K184</f>
        <v/>
      </c>
      <c r="M184" s="358">
        <f>L184</f>
        <v/>
      </c>
      <c r="N184" s="358">
        <f>M184</f>
        <v/>
      </c>
      <c r="O184" s="468">
        <f>SUM(C184:N184)</f>
        <v/>
      </c>
      <c r="P184" s="463">
        <f>IF($O$180=0,"",-O184/$O$180)</f>
        <v/>
      </c>
      <c r="Q184" s="16" t="n"/>
      <c r="R184" s="16" t="n"/>
      <c r="S184" s="16" t="n"/>
      <c r="T184" s="16" t="n"/>
      <c r="U184" s="16" t="n"/>
      <c r="V184" s="16" t="n"/>
      <c r="W184" s="16" t="n"/>
      <c r="X184" s="16" t="n"/>
      <c r="Y184" s="16" t="n"/>
      <c r="Z184" s="16" t="n"/>
    </row>
    <row r="185" ht="12.75" customHeight="1" s="588">
      <c r="A185" s="784" t="inlineStr">
        <is>
          <t>Tributos</t>
        </is>
      </c>
      <c r="C185" s="406" t="n"/>
      <c r="D185" s="406" t="n"/>
      <c r="E185" s="406" t="n"/>
      <c r="F185" s="406" t="n"/>
      <c r="G185" s="406" t="n"/>
      <c r="H185" s="406" t="n"/>
      <c r="I185" s="406" t="n"/>
      <c r="J185" s="406" t="n"/>
      <c r="K185" s="406" t="n"/>
      <c r="L185" s="406" t="n"/>
      <c r="M185" s="406" t="n"/>
      <c r="N185" s="406" t="n"/>
      <c r="O185" s="468">
        <f>SUM(C185:N185)</f>
        <v/>
      </c>
      <c r="P185" s="463">
        <f>IF($O$180=0,"",-O185/$O$180)</f>
        <v/>
      </c>
      <c r="Q185" s="16" t="n"/>
      <c r="R185" s="16" t="n"/>
      <c r="S185" s="16" t="n"/>
      <c r="T185" s="16" t="n"/>
      <c r="U185" s="16" t="n"/>
      <c r="V185" s="16" t="n"/>
      <c r="W185" s="16" t="n"/>
      <c r="X185" s="16" t="n"/>
      <c r="Y185" s="16" t="n"/>
      <c r="Z185" s="16" t="n"/>
    </row>
    <row r="186" ht="12.75" customHeight="1" s="588">
      <c r="A186" s="784" t="inlineStr">
        <is>
          <t>Seguros y Colegio Prof.</t>
        </is>
      </c>
      <c r="C186" s="406" t="n">
        <v>-250</v>
      </c>
      <c r="D186" s="406" t="n"/>
      <c r="E186" s="406" t="n"/>
      <c r="F186" s="406" t="n"/>
      <c r="G186" s="406" t="n"/>
      <c r="H186" s="406" t="n"/>
      <c r="I186" s="406" t="n"/>
      <c r="J186" s="406" t="n"/>
      <c r="K186" s="406" t="n"/>
      <c r="L186" s="406" t="n"/>
      <c r="M186" s="406" t="n"/>
      <c r="N186" s="406" t="n"/>
      <c r="O186" s="468">
        <f>SUM(C186:N186)</f>
        <v/>
      </c>
      <c r="P186" s="463">
        <f>IF($O$180=0,"",-O186/$O$180)</f>
        <v/>
      </c>
      <c r="Q186" s="16" t="n"/>
      <c r="R186" s="16" t="n"/>
      <c r="S186" s="16" t="n"/>
      <c r="T186" s="16" t="n"/>
      <c r="U186" s="16" t="n"/>
      <c r="V186" s="16" t="n"/>
      <c r="W186" s="16" t="n"/>
      <c r="X186" s="16" t="n"/>
      <c r="Y186" s="16" t="n"/>
      <c r="Z186" s="16" t="n"/>
    </row>
    <row r="187" ht="12.75" customHeight="1" s="588">
      <c r="A187" s="784" t="inlineStr">
        <is>
          <t>Suministros</t>
        </is>
      </c>
      <c r="C187" s="406" t="n">
        <v>-170</v>
      </c>
      <c r="D187" s="406">
        <f>C187</f>
        <v/>
      </c>
      <c r="E187" s="406">
        <f>D187</f>
        <v/>
      </c>
      <c r="F187" s="406">
        <f>E187</f>
        <v/>
      </c>
      <c r="G187" s="406">
        <f>F187</f>
        <v/>
      </c>
      <c r="H187" s="406">
        <f>G187</f>
        <v/>
      </c>
      <c r="I187" s="406">
        <f>H187</f>
        <v/>
      </c>
      <c r="J187" s="406">
        <f>I187</f>
        <v/>
      </c>
      <c r="K187" s="406">
        <f>J187</f>
        <v/>
      </c>
      <c r="L187" s="406">
        <f>K187</f>
        <v/>
      </c>
      <c r="M187" s="406">
        <f>L187</f>
        <v/>
      </c>
      <c r="N187" s="406">
        <f>M187</f>
        <v/>
      </c>
      <c r="O187" s="468">
        <f>SUM(C187:N187)</f>
        <v/>
      </c>
      <c r="P187" s="463">
        <f>IF($O$180=0,"",-O187/$O$180)</f>
        <v/>
      </c>
      <c r="Q187" s="16" t="n"/>
      <c r="R187" s="16" t="n"/>
      <c r="S187" s="16" t="n"/>
      <c r="T187" s="16" t="n"/>
      <c r="U187" s="16" t="n"/>
      <c r="V187" s="16" t="n"/>
      <c r="W187" s="16" t="n"/>
      <c r="X187" s="16" t="n"/>
      <c r="Y187" s="16" t="n"/>
      <c r="Z187" s="16" t="n"/>
    </row>
    <row r="188" ht="12.75" customHeight="1" s="588">
      <c r="A188" s="784" t="inlineStr">
        <is>
          <t>Asesoria, PRL, etc.</t>
        </is>
      </c>
      <c r="C188" s="406" t="n">
        <v>-160</v>
      </c>
      <c r="D188" s="406">
        <f>C188</f>
        <v/>
      </c>
      <c r="E188" s="406">
        <f>D188</f>
        <v/>
      </c>
      <c r="F188" s="406">
        <f>E188</f>
        <v/>
      </c>
      <c r="G188" s="406">
        <f>F188</f>
        <v/>
      </c>
      <c r="H188" s="406">
        <f>G188</f>
        <v/>
      </c>
      <c r="I188" s="406">
        <f>H188</f>
        <v/>
      </c>
      <c r="J188" s="406">
        <f>I188</f>
        <v/>
      </c>
      <c r="K188" s="406">
        <f>J188</f>
        <v/>
      </c>
      <c r="L188" s="406">
        <f>K188</f>
        <v/>
      </c>
      <c r="M188" s="406">
        <f>L188</f>
        <v/>
      </c>
      <c r="N188" s="406">
        <f>M188</f>
        <v/>
      </c>
      <c r="O188" s="468">
        <f>SUM(C188:N188)</f>
        <v/>
      </c>
      <c r="P188" s="463">
        <f>IF($O$180=0,"",-O188/$O$180)</f>
        <v/>
      </c>
      <c r="Q188" s="16" t="n"/>
      <c r="R188" s="16" t="n"/>
      <c r="S188" s="16" t="n"/>
      <c r="T188" s="16" t="n"/>
      <c r="U188" s="16" t="n"/>
      <c r="V188" s="16" t="n"/>
      <c r="W188" s="16" t="n"/>
      <c r="X188" s="16" t="n"/>
      <c r="Y188" s="16" t="n"/>
      <c r="Z188" s="16" t="n"/>
    </row>
    <row r="189" ht="12.75" customHeight="1" s="588">
      <c r="A189" s="784" t="inlineStr">
        <is>
          <t>Material de oficina</t>
        </is>
      </c>
      <c r="C189" s="406" t="n">
        <v>-60</v>
      </c>
      <c r="D189" s="406">
        <f>C189</f>
        <v/>
      </c>
      <c r="E189" s="406">
        <f>D189</f>
        <v/>
      </c>
      <c r="F189" s="406">
        <f>E189</f>
        <v/>
      </c>
      <c r="G189" s="406">
        <f>F189</f>
        <v/>
      </c>
      <c r="H189" s="406">
        <f>G189</f>
        <v/>
      </c>
      <c r="I189" s="406">
        <f>H189</f>
        <v/>
      </c>
      <c r="J189" s="406">
        <f>I189</f>
        <v/>
      </c>
      <c r="K189" s="406">
        <f>J189</f>
        <v/>
      </c>
      <c r="L189" s="406">
        <f>K189</f>
        <v/>
      </c>
      <c r="M189" s="406">
        <f>L189</f>
        <v/>
      </c>
      <c r="N189" s="406">
        <f>M189</f>
        <v/>
      </c>
      <c r="O189" s="468">
        <f>SUM(C189:N189)</f>
        <v/>
      </c>
      <c r="P189" s="463">
        <f>IF($O$180=0,"",-O189/$O$180)</f>
        <v/>
      </c>
      <c r="Q189" s="16" t="n"/>
      <c r="R189" s="16" t="n"/>
      <c r="S189" s="16" t="n"/>
      <c r="T189" s="16" t="n"/>
      <c r="U189" s="16" t="n"/>
      <c r="V189" s="16" t="n"/>
      <c r="W189" s="16" t="n"/>
      <c r="X189" s="16" t="n"/>
      <c r="Y189" s="16" t="n"/>
      <c r="Z189" s="16" t="n"/>
    </row>
    <row r="190" ht="12.75" customHeight="1" s="588">
      <c r="A190" s="784" t="inlineStr">
        <is>
          <t>Publicidad</t>
        </is>
      </c>
      <c r="C190" s="406">
        <f>IF(G13=0%,-('CÓMO'!I178+'CÓMO'!I276)*1.21/12,-('CÓMO'!I178+'CÓMO'!I276)/12)</f>
        <v/>
      </c>
      <c r="D190" s="406">
        <f>C190</f>
        <v/>
      </c>
      <c r="E190" s="406">
        <f>D190</f>
        <v/>
      </c>
      <c r="F190" s="406">
        <f>E190</f>
        <v/>
      </c>
      <c r="G190" s="406">
        <f>F190</f>
        <v/>
      </c>
      <c r="H190" s="406">
        <f>G190</f>
        <v/>
      </c>
      <c r="I190" s="406">
        <f>H190</f>
        <v/>
      </c>
      <c r="J190" s="406">
        <f>I190</f>
        <v/>
      </c>
      <c r="K190" s="406">
        <f>J190</f>
        <v/>
      </c>
      <c r="L190" s="406">
        <f>K190</f>
        <v/>
      </c>
      <c r="M190" s="406">
        <f>L190</f>
        <v/>
      </c>
      <c r="N190" s="406">
        <f>M190</f>
        <v/>
      </c>
      <c r="O190" s="468">
        <f>SUM(C190:N190)</f>
        <v/>
      </c>
      <c r="P190" s="463">
        <f>IF($O$180=0,"",-O190/$O$180)</f>
        <v/>
      </c>
      <c r="Q190" s="16" t="n"/>
      <c r="R190" s="16" t="n"/>
      <c r="S190" s="16" t="n"/>
      <c r="T190" s="16" t="n"/>
      <c r="U190" s="16" t="n"/>
      <c r="V190" s="16" t="n"/>
      <c r="W190" s="16" t="n"/>
      <c r="X190" s="16" t="n"/>
      <c r="Y190" s="16" t="n"/>
      <c r="Z190" s="16" t="n"/>
    </row>
    <row r="191" ht="12.75" customHeight="1" s="588">
      <c r="A191" s="784" t="inlineStr">
        <is>
          <t>Gastos de Viaje</t>
        </is>
      </c>
      <c r="C191" s="406" t="n">
        <v>-70</v>
      </c>
      <c r="D191" s="406">
        <f>C191</f>
        <v/>
      </c>
      <c r="E191" s="406">
        <f>D191</f>
        <v/>
      </c>
      <c r="F191" s="406">
        <f>E191</f>
        <v/>
      </c>
      <c r="G191" s="406">
        <f>F191</f>
        <v/>
      </c>
      <c r="H191" s="406">
        <f>G191</f>
        <v/>
      </c>
      <c r="I191" s="406">
        <f>H191</f>
        <v/>
      </c>
      <c r="J191" s="406">
        <f>I191</f>
        <v/>
      </c>
      <c r="K191" s="406">
        <f>J191</f>
        <v/>
      </c>
      <c r="L191" s="406">
        <f>K191</f>
        <v/>
      </c>
      <c r="M191" s="406">
        <f>L191</f>
        <v/>
      </c>
      <c r="N191" s="406">
        <f>M191</f>
        <v/>
      </c>
      <c r="O191" s="468">
        <f>SUM(C191:N191)</f>
        <v/>
      </c>
      <c r="P191" s="463">
        <f>IF($O$180=0,"",-O191/$O$180)</f>
        <v/>
      </c>
      <c r="Q191" s="16" t="n"/>
      <c r="R191" s="16" t="n"/>
      <c r="S191" s="16" t="n"/>
      <c r="T191" s="16" t="n"/>
      <c r="U191" s="16" t="n"/>
      <c r="V191" s="16" t="n"/>
      <c r="W191" s="16" t="n"/>
      <c r="X191" s="16" t="n"/>
      <c r="Y191" s="16" t="n"/>
      <c r="Z191" s="16" t="n"/>
    </row>
    <row r="192" ht="12.75" customHeight="1" s="588">
      <c r="A192" s="784" t="inlineStr">
        <is>
          <t>Mantenimiento</t>
        </is>
      </c>
      <c r="C192" s="406" t="n"/>
      <c r="D192" s="406">
        <f>C192</f>
        <v/>
      </c>
      <c r="E192" s="406">
        <f>D192</f>
        <v/>
      </c>
      <c r="F192" s="406">
        <f>E192</f>
        <v/>
      </c>
      <c r="G192" s="406">
        <f>F192</f>
        <v/>
      </c>
      <c r="H192" s="406">
        <f>G192</f>
        <v/>
      </c>
      <c r="I192" s="406">
        <f>H192</f>
        <v/>
      </c>
      <c r="J192" s="406">
        <f>I192</f>
        <v/>
      </c>
      <c r="K192" s="406">
        <f>J192</f>
        <v/>
      </c>
      <c r="L192" s="406">
        <f>K192</f>
        <v/>
      </c>
      <c r="M192" s="406">
        <f>L192</f>
        <v/>
      </c>
      <c r="N192" s="406">
        <f>M192</f>
        <v/>
      </c>
      <c r="O192" s="468">
        <f>SUM(C192:N192)</f>
        <v/>
      </c>
      <c r="P192" s="463">
        <f>IF($O$180=0,"",-O192/$O$180)</f>
        <v/>
      </c>
      <c r="Q192" s="16" t="n"/>
      <c r="R192" s="16" t="n"/>
      <c r="S192" s="16" t="n"/>
      <c r="T192" s="16" t="n"/>
      <c r="U192" s="16" t="n"/>
      <c r="V192" s="16" t="n"/>
      <c r="W192" s="16" t="n"/>
      <c r="X192" s="16" t="n"/>
      <c r="Y192" s="16" t="n"/>
      <c r="Z192" s="16" t="n"/>
    </row>
    <row r="193" ht="12.75" customHeight="1" s="588">
      <c r="A193" s="784" t="inlineStr">
        <is>
          <t>Varios</t>
        </is>
      </c>
      <c r="C193" s="406" t="n">
        <v>-25</v>
      </c>
      <c r="D193" s="406">
        <f>C193</f>
        <v/>
      </c>
      <c r="E193" s="406">
        <f>D193</f>
        <v/>
      </c>
      <c r="F193" s="406">
        <f>E193</f>
        <v/>
      </c>
      <c r="G193" s="406">
        <f>F193</f>
        <v/>
      </c>
      <c r="H193" s="406">
        <f>G193</f>
        <v/>
      </c>
      <c r="I193" s="406">
        <f>H193</f>
        <v/>
      </c>
      <c r="J193" s="406">
        <f>I193</f>
        <v/>
      </c>
      <c r="K193" s="406">
        <f>J193</f>
        <v/>
      </c>
      <c r="L193" s="406">
        <f>K193</f>
        <v/>
      </c>
      <c r="M193" s="406">
        <f>L193</f>
        <v/>
      </c>
      <c r="N193" s="406">
        <f>M193</f>
        <v/>
      </c>
      <c r="O193" s="468">
        <f>SUM(C193:N193)</f>
        <v/>
      </c>
      <c r="P193" s="463">
        <f>IF($O$180=0,"",-O193/$O$180)</f>
        <v/>
      </c>
      <c r="Q193" s="16" t="n"/>
      <c r="R193" s="16" t="n"/>
      <c r="S193" s="16" t="n"/>
      <c r="T193" s="16" t="n"/>
      <c r="U193" s="16" t="n"/>
      <c r="V193" s="16" t="n"/>
      <c r="W193" s="16" t="n"/>
      <c r="X193" s="16" t="n"/>
      <c r="Y193" s="16" t="n"/>
      <c r="Z193" s="16" t="n"/>
    </row>
    <row r="194" ht="12.75" customHeight="1" s="588">
      <c r="A194" s="784" t="inlineStr">
        <is>
          <t>Arrendamientos</t>
        </is>
      </c>
      <c r="C194" s="406">
        <f>IF(G13=0%,-('CÓMO'!I271/12+D58/2)*1.21,-('CÓMO'!I271/12+D58/2))</f>
        <v/>
      </c>
      <c r="D194" s="406">
        <f>C194</f>
        <v/>
      </c>
      <c r="E194" s="406">
        <f>D194</f>
        <v/>
      </c>
      <c r="F194" s="406">
        <f>E194</f>
        <v/>
      </c>
      <c r="G194" s="406">
        <f>F194</f>
        <v/>
      </c>
      <c r="H194" s="406">
        <f>G194</f>
        <v/>
      </c>
      <c r="I194" s="406">
        <f>H194</f>
        <v/>
      </c>
      <c r="J194" s="406">
        <f>I194</f>
        <v/>
      </c>
      <c r="K194" s="406">
        <f>J194</f>
        <v/>
      </c>
      <c r="L194" s="406">
        <f>K194</f>
        <v/>
      </c>
      <c r="M194" s="406">
        <f>L194</f>
        <v/>
      </c>
      <c r="N194" s="406">
        <f>M194</f>
        <v/>
      </c>
      <c r="O194" s="468">
        <f>SUM(C194:N194)</f>
        <v/>
      </c>
      <c r="P194" s="463">
        <f>IF($O$180=0,"",-O194/$O$180)</f>
        <v/>
      </c>
      <c r="Q194" s="16" t="n"/>
      <c r="R194" s="16" t="n"/>
      <c r="S194" s="16" t="n"/>
      <c r="T194" s="16" t="n"/>
      <c r="U194" s="16" t="n"/>
      <c r="V194" s="16" t="n"/>
      <c r="W194" s="16" t="n"/>
      <c r="X194" s="16" t="n"/>
      <c r="Y194" s="16" t="n"/>
      <c r="Z194" s="16" t="n"/>
    </row>
    <row r="195" ht="12.75" customHeight="1" s="588">
      <c r="A195" s="784" t="inlineStr">
        <is>
          <t>Gastos Previos Iniciales</t>
        </is>
      </c>
      <c r="C195" s="358">
        <f>-D65</f>
        <v/>
      </c>
      <c r="D195" s="358" t="n"/>
      <c r="E195" s="358" t="n"/>
      <c r="F195" s="358" t="n"/>
      <c r="G195" s="358" t="n"/>
      <c r="H195" s="358" t="n"/>
      <c r="I195" s="358" t="n"/>
      <c r="J195" s="358" t="n"/>
      <c r="K195" s="358" t="n"/>
      <c r="L195" s="358" t="n"/>
      <c r="M195" s="358" t="n"/>
      <c r="N195" s="358" t="n"/>
      <c r="O195" s="468">
        <f>SUM(C195:N195)</f>
        <v/>
      </c>
      <c r="P195" s="463">
        <f>IF($O$180=0,"",-O195/$O$180)</f>
        <v/>
      </c>
      <c r="Q195" s="16" t="n"/>
      <c r="R195" s="16" t="n"/>
      <c r="S195" s="16" t="n"/>
      <c r="T195" s="16" t="n"/>
      <c r="U195" s="16" t="n"/>
      <c r="V195" s="16" t="n"/>
      <c r="W195" s="16" t="n"/>
      <c r="X195" s="16" t="n"/>
      <c r="Y195" s="16" t="n"/>
      <c r="Z195" s="16" t="n"/>
    </row>
    <row r="196" ht="12.75" customHeight="1" s="588">
      <c r="A196" s="785" t="inlineStr">
        <is>
          <t>EBITDA</t>
        </is>
      </c>
      <c r="B196" s="591" t="n"/>
      <c r="C196" s="470">
        <f>C182+IF($C150="n/a",SUM(C184:C195),SUM(C183:C195))</f>
        <v/>
      </c>
      <c r="D196" s="471">
        <f>D182+IF($C150="n/a",SUM(D184:D195),SUM(D183:D195))</f>
        <v/>
      </c>
      <c r="E196" s="471">
        <f>E182+IF($C150="n/a",SUM(E184:E195),SUM(E183:E195))</f>
        <v/>
      </c>
      <c r="F196" s="471">
        <f>F182+IF($C150="n/a",SUM(F184:F195),SUM(F183:F195))</f>
        <v/>
      </c>
      <c r="G196" s="471">
        <f>G182+IF($C150="n/a",SUM(G184:G195),SUM(G183:G195))</f>
        <v/>
      </c>
      <c r="H196" s="471">
        <f>H182+IF($C150="n/a",SUM(H184:H195),SUM(H183:H195))</f>
        <v/>
      </c>
      <c r="I196" s="471">
        <f>I182+IF($C150="n/a",SUM(I184:I195),SUM(I183:I195))</f>
        <v/>
      </c>
      <c r="J196" s="471">
        <f>J182+IF($C150="n/a",SUM(J184:J195),SUM(J183:J195))</f>
        <v/>
      </c>
      <c r="K196" s="471">
        <f>K182+IF($C150="n/a",SUM(K184:K195),SUM(K183:K195))</f>
        <v/>
      </c>
      <c r="L196" s="471">
        <f>L182+IF($C150="n/a",SUM(L184:L195),SUM(L183:L195))</f>
        <v/>
      </c>
      <c r="M196" s="471">
        <f>M182+IF($C150="n/a",SUM(M184:M195),SUM(M183:M195))</f>
        <v/>
      </c>
      <c r="N196" s="471">
        <f>N182+IF($C150="n/a",SUM(N184:N195),SUM(N183:N195))</f>
        <v/>
      </c>
      <c r="O196" s="359">
        <f>SUM(C196:N196)</f>
        <v/>
      </c>
      <c r="P196" s="463">
        <f>IF($O$180=0,"",O196/$O$180)</f>
        <v/>
      </c>
      <c r="Q196" s="16" t="n"/>
      <c r="R196" s="16" t="n"/>
      <c r="S196" s="16" t="n"/>
      <c r="T196" s="16" t="n"/>
      <c r="U196" s="16" t="n"/>
      <c r="V196" s="16" t="n"/>
      <c r="W196" s="16" t="n"/>
      <c r="X196" s="16" t="n"/>
      <c r="Y196" s="16" t="n"/>
      <c r="Z196" s="16" t="n"/>
    </row>
    <row r="197" ht="12.75" customHeight="1" s="588">
      <c r="A197" s="784" t="inlineStr">
        <is>
          <t>Amortizaciones</t>
        </is>
      </c>
      <c r="C197" s="358">
        <f>IF(G60&lt;&gt;0%,-D60*G60/12,0)</f>
        <v/>
      </c>
      <c r="D197" s="358">
        <f>C197</f>
        <v/>
      </c>
      <c r="E197" s="358">
        <f>D197</f>
        <v/>
      </c>
      <c r="F197" s="358">
        <f>E197</f>
        <v/>
      </c>
      <c r="G197" s="358">
        <f>F197</f>
        <v/>
      </c>
      <c r="H197" s="358">
        <f>G197</f>
        <v/>
      </c>
      <c r="I197" s="358">
        <f>H197</f>
        <v/>
      </c>
      <c r="J197" s="358">
        <f>I197</f>
        <v/>
      </c>
      <c r="K197" s="358">
        <f>J197</f>
        <v/>
      </c>
      <c r="L197" s="358">
        <f>K197</f>
        <v/>
      </c>
      <c r="M197" s="358">
        <f>L197</f>
        <v/>
      </c>
      <c r="N197" s="358">
        <f>M197</f>
        <v/>
      </c>
      <c r="O197" s="468">
        <f>SUM(C197:N197)</f>
        <v/>
      </c>
      <c r="P197" s="463">
        <f>IF($O$180=0,"",-O197/$O$180)</f>
        <v/>
      </c>
      <c r="Q197" s="16" t="n"/>
      <c r="R197" s="16" t="n"/>
      <c r="S197" s="16" t="n"/>
      <c r="T197" s="16" t="n"/>
      <c r="U197" s="16" t="n"/>
      <c r="V197" s="16" t="n"/>
      <c r="W197" s="16" t="n"/>
      <c r="X197" s="16" t="n"/>
      <c r="Y197" s="16" t="n"/>
      <c r="Z197" s="16" t="n"/>
    </row>
    <row r="198" ht="12.75" customHeight="1" s="588">
      <c r="A198" s="785" t="inlineStr">
        <is>
          <t>EBIT (Result. Explotación)</t>
        </is>
      </c>
      <c r="B198" s="591" t="n"/>
      <c r="C198" s="470">
        <f>C196+C197</f>
        <v/>
      </c>
      <c r="D198" s="471">
        <f>D196+D197</f>
        <v/>
      </c>
      <c r="E198" s="471">
        <f>E196+E197</f>
        <v/>
      </c>
      <c r="F198" s="471">
        <f>F196+F197</f>
        <v/>
      </c>
      <c r="G198" s="471">
        <f>G196+G197</f>
        <v/>
      </c>
      <c r="H198" s="471">
        <f>H196+H197</f>
        <v/>
      </c>
      <c r="I198" s="471">
        <f>I196+I197</f>
        <v/>
      </c>
      <c r="J198" s="471">
        <f>J196+J197</f>
        <v/>
      </c>
      <c r="K198" s="471">
        <f>K196+K197</f>
        <v/>
      </c>
      <c r="L198" s="471">
        <f>L196+L197</f>
        <v/>
      </c>
      <c r="M198" s="471">
        <f>M196+M197</f>
        <v/>
      </c>
      <c r="N198" s="471">
        <f>N196+N197</f>
        <v/>
      </c>
      <c r="O198" s="359">
        <f>SUM(C198:N198)</f>
        <v/>
      </c>
      <c r="P198" s="463">
        <f>IF($O$180=0,"",O198/$O$180)</f>
        <v/>
      </c>
      <c r="Q198" s="16" t="n"/>
      <c r="R198" s="16" t="n"/>
      <c r="S198" s="16" t="n"/>
      <c r="T198" s="16" t="n"/>
      <c r="U198" s="16" t="n"/>
      <c r="V198" s="16" t="n"/>
      <c r="W198" s="16" t="n"/>
      <c r="X198" s="16" t="n"/>
      <c r="Y198" s="16" t="n"/>
      <c r="Z198" s="16" t="n"/>
    </row>
    <row r="199" ht="12.75" customHeight="1" s="588">
      <c r="A199" s="784" t="inlineStr">
        <is>
          <t>Ingresos Financieros</t>
        </is>
      </c>
      <c r="C199" s="406" t="n"/>
      <c r="D199" s="406" t="n"/>
      <c r="E199" s="406" t="n"/>
      <c r="F199" s="406" t="n"/>
      <c r="G199" s="406" t="n"/>
      <c r="H199" s="406" t="n"/>
      <c r="I199" s="406" t="n"/>
      <c r="J199" s="406" t="n"/>
      <c r="K199" s="406" t="n"/>
      <c r="L199" s="406" t="n"/>
      <c r="M199" s="406" t="n"/>
      <c r="N199" s="406" t="n"/>
      <c r="O199" s="468">
        <f>SUM(C199:N199)</f>
        <v/>
      </c>
      <c r="P199" s="463">
        <f>IF($O$180=0,"",-O199/$O$180)</f>
        <v/>
      </c>
      <c r="Q199" s="16" t="n"/>
      <c r="R199" s="16" t="n"/>
      <c r="S199" s="16" t="n"/>
      <c r="T199" s="16" t="n"/>
      <c r="U199" s="16" t="n"/>
      <c r="V199" s="16" t="n"/>
      <c r="W199" s="16" t="n"/>
      <c r="X199" s="16" t="n"/>
      <c r="Y199" s="16" t="n"/>
      <c r="Z199" s="16" t="n"/>
    </row>
    <row r="200" ht="12.75" customHeight="1" s="588">
      <c r="A200" s="784" t="inlineStr">
        <is>
          <t>G. Financieros Ptmos.</t>
        </is>
      </c>
      <c r="C200" s="358">
        <f>-D86</f>
        <v/>
      </c>
      <c r="D200" s="358">
        <f>-E86</f>
        <v/>
      </c>
      <c r="E200" s="358">
        <f>-F86</f>
        <v/>
      </c>
      <c r="F200" s="358">
        <f>-G86</f>
        <v/>
      </c>
      <c r="G200" s="358">
        <f>-H86</f>
        <v/>
      </c>
      <c r="H200" s="358">
        <f>-I86</f>
        <v/>
      </c>
      <c r="I200" s="358">
        <f>-J86</f>
        <v/>
      </c>
      <c r="J200" s="358">
        <f>-K86</f>
        <v/>
      </c>
      <c r="K200" s="358">
        <f>-L86</f>
        <v/>
      </c>
      <c r="L200" s="358">
        <f>-M86</f>
        <v/>
      </c>
      <c r="M200" s="358">
        <f>-N86</f>
        <v/>
      </c>
      <c r="N200" s="358">
        <f>-O86</f>
        <v/>
      </c>
      <c r="O200" s="468">
        <f>SUM(C200:N200)</f>
        <v/>
      </c>
      <c r="P200" s="463">
        <f>IF($O$180=0,"",-O200/$O$180)</f>
        <v/>
      </c>
      <c r="Q200" s="16" t="n"/>
      <c r="R200" s="16" t="n"/>
      <c r="S200" s="16" t="n"/>
      <c r="T200" s="16" t="n"/>
      <c r="U200" s="16" t="n"/>
      <c r="V200" s="16" t="n"/>
      <c r="W200" s="16" t="n"/>
      <c r="X200" s="16" t="n"/>
      <c r="Y200" s="16" t="n"/>
      <c r="Z200" s="16" t="n"/>
    </row>
    <row r="201" ht="12.75" customHeight="1" s="588">
      <c r="A201" s="784" t="inlineStr">
        <is>
          <t>Otros G. Financieros</t>
        </is>
      </c>
      <c r="C201" s="406" t="n"/>
      <c r="D201" s="406" t="n"/>
      <c r="E201" s="406" t="n"/>
      <c r="F201" s="406" t="n"/>
      <c r="G201" s="406" t="n"/>
      <c r="H201" s="406" t="n"/>
      <c r="I201" s="406" t="n"/>
      <c r="J201" s="406" t="n"/>
      <c r="K201" s="406" t="n"/>
      <c r="L201" s="406" t="n"/>
      <c r="M201" s="406" t="n"/>
      <c r="N201" s="406" t="n"/>
      <c r="O201" s="468">
        <f>SUM(C201:N201)</f>
        <v/>
      </c>
      <c r="P201" s="463">
        <f>IF($O$180=0,"",-O201/$O$180)</f>
        <v/>
      </c>
      <c r="Q201" s="16" t="n"/>
      <c r="R201" s="16" t="n"/>
      <c r="S201" s="16" t="n"/>
      <c r="T201" s="16" t="n"/>
      <c r="U201" s="16" t="n"/>
      <c r="V201" s="16" t="n"/>
      <c r="W201" s="16" t="n"/>
      <c r="X201" s="16" t="n"/>
      <c r="Y201" s="16" t="n"/>
      <c r="Z201" s="16" t="n"/>
    </row>
    <row r="202" ht="12.75" customHeight="1" s="588">
      <c r="A202" s="784" t="inlineStr">
        <is>
          <t>Result. Extraordinarios</t>
        </is>
      </c>
      <c r="C202" s="406" t="n"/>
      <c r="D202" s="406" t="n"/>
      <c r="E202" s="406" t="n"/>
      <c r="F202" s="406" t="n"/>
      <c r="G202" s="406" t="n"/>
      <c r="H202" s="406" t="n"/>
      <c r="I202" s="406" t="n"/>
      <c r="J202" s="406" t="n"/>
      <c r="K202" s="406" t="n"/>
      <c r="L202" s="406" t="n"/>
      <c r="M202" s="406" t="n"/>
      <c r="N202" s="406" t="n"/>
      <c r="O202" s="468">
        <f>SUM(C202:N202)</f>
        <v/>
      </c>
      <c r="P202" s="463">
        <f>IF($O$180=0,"",-O202/$O$180)</f>
        <v/>
      </c>
      <c r="Q202" s="16" t="n"/>
      <c r="R202" s="16" t="n"/>
      <c r="S202" s="16" t="n"/>
      <c r="T202" s="16" t="n"/>
      <c r="U202" s="16" t="n"/>
      <c r="V202" s="16" t="n"/>
      <c r="W202" s="16" t="n"/>
      <c r="X202" s="16" t="n"/>
      <c r="Y202" s="16" t="n"/>
      <c r="Z202" s="16" t="n"/>
    </row>
    <row r="203" ht="12.75" customHeight="1" s="588">
      <c r="A203" s="784" t="inlineStr">
        <is>
          <t>Subvenciones</t>
        </is>
      </c>
      <c r="C203" s="358">
        <f>N45*25%/12</f>
        <v/>
      </c>
      <c r="D203" s="358">
        <f>C203</f>
        <v/>
      </c>
      <c r="E203" s="358">
        <f>D203</f>
        <v/>
      </c>
      <c r="F203" s="358">
        <f>E203</f>
        <v/>
      </c>
      <c r="G203" s="358">
        <f>F203</f>
        <v/>
      </c>
      <c r="H203" s="358">
        <f>G203</f>
        <v/>
      </c>
      <c r="I203" s="358">
        <f>H203</f>
        <v/>
      </c>
      <c r="J203" s="358">
        <f>I203</f>
        <v/>
      </c>
      <c r="K203" s="358">
        <f>J203</f>
        <v/>
      </c>
      <c r="L203" s="358">
        <f>K203</f>
        <v/>
      </c>
      <c r="M203" s="358">
        <f>L203</f>
        <v/>
      </c>
      <c r="N203" s="358">
        <f>M203</f>
        <v/>
      </c>
      <c r="O203" s="468">
        <f>SUM(C203:N203)</f>
        <v/>
      </c>
      <c r="P203" s="463">
        <f>IF($O$180=0,"",O203/$O$180)</f>
        <v/>
      </c>
      <c r="Q203" s="16" t="n"/>
      <c r="R203" s="16" t="n"/>
      <c r="S203" s="16" t="n"/>
      <c r="T203" s="16" t="n"/>
      <c r="U203" s="16" t="n"/>
      <c r="V203" s="16" t="n"/>
      <c r="W203" s="16" t="n"/>
      <c r="X203" s="16" t="n"/>
      <c r="Y203" s="16" t="n"/>
      <c r="Z203" s="16" t="n"/>
    </row>
    <row r="204" ht="12.75" customHeight="1" s="588">
      <c r="A204" s="785" t="inlineStr">
        <is>
          <t>BAI mensual</t>
        </is>
      </c>
      <c r="B204" s="591" t="n"/>
      <c r="C204" s="470">
        <f>C198+C199+C200+C201+C202+C203</f>
        <v/>
      </c>
      <c r="D204" s="471">
        <f>D198+D199+D200+D201+D202+D203</f>
        <v/>
      </c>
      <c r="E204" s="471">
        <f>E198+E199+E200+E201+E202+E203</f>
        <v/>
      </c>
      <c r="F204" s="471">
        <f>F198+F199+F200+F201+F202+F203</f>
        <v/>
      </c>
      <c r="G204" s="471">
        <f>G198+G199+G200+G201+G202+G203</f>
        <v/>
      </c>
      <c r="H204" s="471">
        <f>H198+H199+H200+H201+H202+H203</f>
        <v/>
      </c>
      <c r="I204" s="471">
        <f>I198+I199+I200+I201+I202+I203</f>
        <v/>
      </c>
      <c r="J204" s="471">
        <f>J198+J199+J200+J201+J202+J203</f>
        <v/>
      </c>
      <c r="K204" s="471">
        <f>K198+K199+K200+K201+K202+K203</f>
        <v/>
      </c>
      <c r="L204" s="471">
        <f>L198+L199+L200+L201+L202+L203</f>
        <v/>
      </c>
      <c r="M204" s="471">
        <f>M198+M199+M200+M201+M202+M203</f>
        <v/>
      </c>
      <c r="N204" s="472">
        <f>N198+N199+N200+N201+N202+N203</f>
        <v/>
      </c>
      <c r="O204" s="471" t="n"/>
      <c r="P204" s="463" t="n"/>
      <c r="Q204" s="16" t="n"/>
      <c r="R204" s="16" t="n"/>
      <c r="S204" s="16" t="n"/>
      <c r="T204" s="16" t="n"/>
      <c r="U204" s="16" t="n"/>
      <c r="V204" s="16" t="n"/>
      <c r="W204" s="16" t="n"/>
      <c r="X204" s="16" t="n"/>
      <c r="Y204" s="16" t="n"/>
      <c r="Z204" s="16" t="n"/>
    </row>
    <row r="205" ht="12.75" customHeight="1" s="588">
      <c r="A205" s="785" t="inlineStr">
        <is>
          <t>BAI acumulado</t>
        </is>
      </c>
      <c r="B205" s="591" t="n"/>
      <c r="C205" s="470">
        <f>C204</f>
        <v/>
      </c>
      <c r="D205" s="471">
        <f>D204+C205</f>
        <v/>
      </c>
      <c r="E205" s="471">
        <f>E204+D205</f>
        <v/>
      </c>
      <c r="F205" s="471">
        <f>F204+E205</f>
        <v/>
      </c>
      <c r="G205" s="471">
        <f>G204+F205</f>
        <v/>
      </c>
      <c r="H205" s="471">
        <f>H204+G205</f>
        <v/>
      </c>
      <c r="I205" s="471">
        <f>I204+H205</f>
        <v/>
      </c>
      <c r="J205" s="471">
        <f>J204+I205</f>
        <v/>
      </c>
      <c r="K205" s="471">
        <f>K204+J205</f>
        <v/>
      </c>
      <c r="L205" s="471">
        <f>L204+K205</f>
        <v/>
      </c>
      <c r="M205" s="471">
        <f>M204+L205</f>
        <v/>
      </c>
      <c r="N205" s="471">
        <f>N204+M205</f>
        <v/>
      </c>
      <c r="O205" s="473">
        <f>N205</f>
        <v/>
      </c>
      <c r="P205" s="463">
        <f>IF($O$180=0,"",O205/$O$180)</f>
        <v/>
      </c>
      <c r="Q205" s="16" t="n"/>
      <c r="R205" s="16" t="n"/>
      <c r="S205" s="16" t="n"/>
      <c r="T205" s="16" t="n"/>
      <c r="U205" s="16" t="n"/>
      <c r="V205" s="16" t="n"/>
      <c r="W205" s="16" t="n"/>
      <c r="X205" s="16" t="n"/>
      <c r="Y205" s="16" t="n"/>
      <c r="Z205" s="16" t="n"/>
    </row>
    <row r="206" ht="12.75" customHeight="1" s="588">
      <c r="A206" s="785" t="inlineStr">
        <is>
          <t>IMPUESTOS</t>
        </is>
      </c>
      <c r="B206" s="591" t="n"/>
      <c r="C206" s="470">
        <f>IF($D$20=15%,-7%*C180,0)</f>
        <v/>
      </c>
      <c r="D206" s="471">
        <f>IF($D$20=15%,-7%*D180,0)</f>
        <v/>
      </c>
      <c r="E206" s="471">
        <f>IF($D$20=25%,0,IF($D$20=15%,-7%*E180,IF($D$20="MÓDULOS",-$L$21,IF(E205&gt;0,-$D$20*E205*0.8,0))))</f>
        <v/>
      </c>
      <c r="F206" s="471">
        <f>IF($D$20=15%,-7%*F180,0)</f>
        <v/>
      </c>
      <c r="G206" s="471">
        <f>IF($D$20=15%,-7%*G180,0)</f>
        <v/>
      </c>
      <c r="H206" s="471">
        <f>IF($D$20=25%,0,IF($D$20=15%,-7%*H180,IF($D$20="MÓDULOS",-$L$21,IF(AND(H205&gt;0,H205&gt;E205),-$D$20*H205*0.8-E206,0))))</f>
        <v/>
      </c>
      <c r="I206" s="471">
        <f>IF($D$20=15%,-7%*I180,0)</f>
        <v/>
      </c>
      <c r="J206" s="471">
        <f>IF($D$20=15%,-7%*J180,0)</f>
        <v/>
      </c>
      <c r="K206" s="471">
        <f>IF($D$20=25%,0,IF($D$20=15%,-7%*K180,IF($D$20="MÓDULOS",-$L$21,IF(AND(K205&gt;0,K205&gt;H205),-$D$20*K205*0.8-E206-H206,0))))</f>
        <v/>
      </c>
      <c r="L206" s="471">
        <f>IF($D$20=15%,-7%*L180,0)</f>
        <v/>
      </c>
      <c r="M206" s="471">
        <f>IF($D$20=15%,-7%*M180,0)</f>
        <v/>
      </c>
      <c r="N206" s="472">
        <f>IF($D$20=25%,0,IF($D$20=15%,-7%*N180,IF($D$20="MÓDULOS",-$L$21,IF(AND(N205&gt;0,N205&gt;K205),-$D$20*N205*0.8-E206-H206-K206,0))))</f>
        <v/>
      </c>
      <c r="O206" s="474">
        <f>IF($D$20&lt;&gt;25%,SUM(C206:N206),IF(O205&lt;0,0,-($D$20-10%)*O205))</f>
        <v/>
      </c>
      <c r="P206" s="463">
        <f>IF($O$180=0,"",-O206/$O$180)</f>
        <v/>
      </c>
      <c r="Q206" s="16" t="n"/>
      <c r="R206" s="16" t="n"/>
      <c r="S206" s="16" t="n"/>
      <c r="T206" s="16" t="n"/>
      <c r="U206" s="16" t="n"/>
      <c r="V206" s="16" t="n"/>
      <c r="W206" s="16" t="n"/>
      <c r="X206" s="16" t="n"/>
      <c r="Y206" s="16" t="n"/>
      <c r="Z206" s="16" t="n"/>
    </row>
    <row r="207" ht="12.75" customHeight="1" s="588">
      <c r="A207" s="401" t="n"/>
      <c r="B207" s="401" t="n"/>
      <c r="C207" s="475" t="n"/>
      <c r="D207" s="475" t="n"/>
      <c r="E207" s="475" t="n"/>
      <c r="F207" s="475" t="n"/>
      <c r="G207" s="475" t="n"/>
      <c r="H207" s="475" t="n"/>
      <c r="I207" s="475" t="n"/>
      <c r="J207" s="475" t="n"/>
      <c r="K207" s="475" t="n"/>
      <c r="L207" s="475" t="n"/>
      <c r="M207" s="475" t="n"/>
      <c r="N207" s="475" t="n"/>
      <c r="O207" s="475" t="n"/>
      <c r="P207" s="401" t="n"/>
      <c r="Q207" s="16" t="n"/>
      <c r="R207" s="16" t="n"/>
      <c r="S207" s="16" t="n"/>
      <c r="T207" s="16" t="n"/>
      <c r="U207" s="16" t="n"/>
      <c r="V207" s="16" t="n"/>
      <c r="W207" s="16" t="n"/>
      <c r="X207" s="16" t="n"/>
      <c r="Y207" s="16" t="n"/>
      <c r="Z207" s="16" t="n"/>
    </row>
    <row r="208" ht="12.75" customHeight="1" s="588">
      <c r="A208" s="786" t="n"/>
      <c r="C208" s="477" t="n"/>
      <c r="D208" s="477" t="n"/>
      <c r="E208" s="477" t="n"/>
      <c r="F208" s="477" t="n"/>
      <c r="G208" s="477" t="n"/>
      <c r="H208" s="477" t="n"/>
      <c r="I208" s="477" t="n"/>
      <c r="J208" s="477" t="n"/>
      <c r="K208" s="477" t="n"/>
      <c r="L208" s="477" t="n"/>
      <c r="M208" s="787" t="inlineStr">
        <is>
          <t>RESULTADO NETO</t>
        </is>
      </c>
      <c r="N208" s="591" t="n"/>
      <c r="O208" s="474">
        <f>O205+O206</f>
        <v/>
      </c>
      <c r="P208" s="75" t="n"/>
      <c r="Q208" s="16" t="n"/>
      <c r="R208" s="16" t="n"/>
      <c r="S208" s="16" t="n"/>
      <c r="T208" s="16" t="n"/>
      <c r="U208" s="16" t="n"/>
      <c r="V208" s="16" t="n"/>
      <c r="W208" s="16" t="n"/>
      <c r="X208" s="16" t="n"/>
      <c r="Y208" s="16" t="n"/>
      <c r="Z208" s="16" t="n"/>
    </row>
    <row r="209" ht="12.75" customHeight="1" s="588">
      <c r="A209" s="786">
        <f>IF($D$20=25%,"","La Retribución de los Empresarios no acumula en el EBITDA")</f>
        <v/>
      </c>
      <c r="F209" s="479" t="n"/>
      <c r="G209" s="479" t="n"/>
      <c r="H209" s="479" t="n"/>
      <c r="I209" s="479" t="n"/>
      <c r="J209" s="479" t="n"/>
      <c r="K209" s="479" t="n"/>
      <c r="L209" s="784" t="n"/>
      <c r="O209" s="480" t="n"/>
      <c r="P209" s="75" t="n"/>
      <c r="Q209" s="16" t="n"/>
      <c r="R209" s="16" t="n"/>
      <c r="S209" s="16" t="n"/>
      <c r="T209" s="16" t="n"/>
      <c r="U209" s="16" t="n"/>
      <c r="V209" s="16" t="n"/>
      <c r="W209" s="16" t="n"/>
      <c r="X209" s="16" t="n"/>
      <c r="Y209" s="16" t="n"/>
      <c r="Z209" s="16" t="n"/>
    </row>
    <row r="210" ht="12.75" customHeight="1" s="588">
      <c r="A210" s="8" t="inlineStr">
        <is>
          <t>¿CUÁNTO Y CUÁNDO?</t>
        </is>
      </c>
      <c r="B210" s="1" t="n"/>
      <c r="C210" s="1" t="n"/>
      <c r="D210" s="1" t="n"/>
      <c r="E210" s="1" t="n"/>
      <c r="F210" s="1" t="n"/>
      <c r="G210" s="1" t="n"/>
      <c r="H210" s="1" t="n"/>
      <c r="I210" s="1" t="n"/>
      <c r="J210" s="185" t="n"/>
      <c r="K210" s="185" t="n"/>
      <c r="L210" s="1" t="n"/>
      <c r="M210" s="1" t="n"/>
      <c r="N210" s="1" t="n"/>
      <c r="O210" s="1" t="n"/>
      <c r="P210" s="185" t="inlineStr">
        <is>
          <t>Plan Financiero</t>
        </is>
      </c>
      <c r="Q210" s="16" t="n"/>
      <c r="R210" s="16" t="n"/>
      <c r="S210" s="16" t="n"/>
      <c r="T210" s="16" t="n"/>
      <c r="U210" s="16" t="n"/>
      <c r="V210" s="16" t="n"/>
      <c r="W210" s="16" t="n"/>
      <c r="X210" s="16" t="n"/>
      <c r="Y210" s="16" t="n"/>
      <c r="Z210" s="16" t="n"/>
    </row>
    <row r="211" ht="12.75" customHeight="1" s="588">
      <c r="A211" s="356" t="n"/>
      <c r="B211" s="356" t="n"/>
      <c r="C211" s="356" t="n"/>
      <c r="D211" s="356" t="n"/>
      <c r="E211" s="356" t="n"/>
      <c r="F211" s="356" t="n"/>
      <c r="G211" s="356" t="n"/>
      <c r="H211" s="356" t="n"/>
      <c r="I211" s="356" t="n"/>
      <c r="J211" s="356" t="n"/>
      <c r="K211" s="1" t="n"/>
      <c r="L211" s="1" t="n"/>
      <c r="M211" s="1" t="n"/>
      <c r="N211" s="1" t="n"/>
      <c r="O211" s="1" t="n"/>
      <c r="P211" s="1" t="n"/>
      <c r="Q211" s="16" t="n"/>
      <c r="R211" s="16" t="n"/>
      <c r="S211" s="16" t="n"/>
      <c r="T211" s="16" t="n"/>
      <c r="U211" s="16" t="n"/>
      <c r="V211" s="16" t="n"/>
      <c r="W211" s="16" t="n"/>
      <c r="X211" s="16" t="n"/>
      <c r="Y211" s="16" t="n"/>
      <c r="Z211" s="16" t="n"/>
    </row>
    <row r="212" ht="12.75" customHeight="1" s="588">
      <c r="A212" s="356" t="n"/>
      <c r="B212" s="356" t="n"/>
      <c r="C212" s="169" t="n"/>
      <c r="D212" s="1" t="n"/>
      <c r="E212" s="1" t="n"/>
      <c r="F212" s="1" t="n"/>
      <c r="G212" s="1" t="n"/>
      <c r="H212" s="356" t="n"/>
      <c r="I212" s="356" t="n"/>
      <c r="J212" s="356" t="n"/>
      <c r="K212" s="1" t="n"/>
      <c r="L212" s="1" t="n"/>
      <c r="M212" s="1" t="n"/>
      <c r="N212" s="1" t="n"/>
      <c r="O212" s="1" t="n"/>
      <c r="P212" s="1" t="n"/>
      <c r="Q212" s="16" t="n"/>
      <c r="R212" s="16" t="n"/>
      <c r="S212" s="16" t="n"/>
      <c r="T212" s="16" t="n"/>
      <c r="U212" s="16" t="n"/>
      <c r="V212" s="16" t="n"/>
      <c r="W212" s="16" t="n"/>
      <c r="X212" s="16" t="n"/>
      <c r="Y212" s="16" t="n"/>
      <c r="Z212" s="16" t="n"/>
    </row>
    <row r="213" ht="12.75" customHeight="1" s="588">
      <c r="A213" s="356" t="n"/>
      <c r="B213" s="356" t="n"/>
      <c r="C213" s="356" t="n"/>
      <c r="D213" s="356" t="n"/>
      <c r="E213" s="356" t="n"/>
      <c r="F213" s="366" t="n"/>
      <c r="G213" s="769" t="inlineStr">
        <is>
          <t>ADMINISTRACIONES PÚBLICAS AÑO 1</t>
        </is>
      </c>
      <c r="H213" s="649" t="n"/>
      <c r="I213" s="649" t="n"/>
      <c r="J213" s="649" t="n"/>
      <c r="K213" s="649" t="n"/>
      <c r="L213" s="369" t="n"/>
      <c r="M213" s="1" t="n"/>
      <c r="N213" s="1" t="n"/>
      <c r="O213" s="1" t="n"/>
      <c r="P213" s="1" t="n"/>
      <c r="Q213" s="16" t="n"/>
      <c r="R213" s="16" t="n"/>
      <c r="S213" s="16" t="n"/>
      <c r="T213" s="16" t="n"/>
      <c r="U213" s="16" t="n"/>
      <c r="V213" s="16" t="n"/>
      <c r="W213" s="16" t="n"/>
      <c r="X213" s="16" t="n"/>
      <c r="Y213" s="16" t="n"/>
      <c r="Z213" s="16" t="n"/>
    </row>
    <row r="214" ht="12.75" customHeight="1" s="588">
      <c r="A214" s="1" t="n"/>
      <c r="B214" s="1" t="n"/>
      <c r="C214" s="1" t="n"/>
      <c r="D214" s="1" t="n"/>
      <c r="E214" s="1" t="n"/>
      <c r="F214" s="1" t="n"/>
      <c r="G214" s="1" t="n"/>
      <c r="H214" s="1" t="n"/>
      <c r="I214" s="1" t="n"/>
      <c r="J214" s="1" t="n"/>
      <c r="K214" s="1" t="n"/>
      <c r="L214" s="1" t="n"/>
      <c r="M214" s="1" t="n"/>
      <c r="N214" s="1" t="n"/>
      <c r="O214" s="1" t="n"/>
      <c r="P214" s="771" t="inlineStr">
        <is>
          <t>Pte. pago a fin año</t>
        </is>
      </c>
      <c r="Q214" s="16" t="n"/>
      <c r="R214" s="16" t="n"/>
      <c r="S214" s="16" t="n"/>
      <c r="T214" s="16" t="n"/>
      <c r="U214" s="16" t="n"/>
      <c r="V214" s="16" t="n"/>
      <c r="W214" s="16" t="n"/>
      <c r="X214" s="16" t="n"/>
      <c r="Y214" s="16" t="n"/>
      <c r="Z214" s="16" t="n"/>
    </row>
    <row r="215" ht="12.75" customHeight="1" s="588">
      <c r="A215" s="1" t="n"/>
      <c r="C215" s="455" t="inlineStr">
        <is>
          <t>Mes 1</t>
        </is>
      </c>
      <c r="D215" s="455" t="inlineStr">
        <is>
          <t>Mes 2</t>
        </is>
      </c>
      <c r="E215" s="455" t="inlineStr">
        <is>
          <t>Mes 3</t>
        </is>
      </c>
      <c r="F215" s="455" t="inlineStr">
        <is>
          <t>Mes 4</t>
        </is>
      </c>
      <c r="G215" s="455" t="inlineStr">
        <is>
          <t>Mes 5</t>
        </is>
      </c>
      <c r="H215" s="455" t="inlineStr">
        <is>
          <t>Mes 6</t>
        </is>
      </c>
      <c r="I215" s="455" t="inlineStr">
        <is>
          <t>Mes 7</t>
        </is>
      </c>
      <c r="J215" s="455" t="inlineStr">
        <is>
          <t>Mes 8</t>
        </is>
      </c>
      <c r="K215" s="455" t="inlineStr">
        <is>
          <t>Mes 9</t>
        </is>
      </c>
      <c r="L215" s="455" t="inlineStr">
        <is>
          <t>Mes 10</t>
        </is>
      </c>
      <c r="M215" s="455" t="inlineStr">
        <is>
          <t>Mes 11</t>
        </is>
      </c>
      <c r="N215" s="455" t="inlineStr">
        <is>
          <t>Mes 12</t>
        </is>
      </c>
      <c r="O215" s="363" t="inlineStr">
        <is>
          <t>TOTAL AÑO</t>
        </is>
      </c>
      <c r="P215" s="712" t="n"/>
      <c r="Q215" s="16" t="n"/>
      <c r="R215" s="16" t="n"/>
      <c r="S215" s="16" t="n"/>
      <c r="T215" s="16" t="n"/>
      <c r="U215" s="16" t="n"/>
      <c r="V215" s="16" t="n"/>
      <c r="W215" s="16" t="n"/>
      <c r="X215" s="16" t="n"/>
      <c r="Y215" s="16" t="n"/>
      <c r="Z215" s="16" t="n"/>
    </row>
    <row r="216" ht="12.75" customHeight="1" s="588">
      <c r="A216" s="788" t="inlineStr">
        <is>
          <t>Impuesto s/Beneficios</t>
        </is>
      </c>
      <c r="B216" s="591" t="n"/>
      <c r="C216" s="471">
        <f>-C206</f>
        <v/>
      </c>
      <c r="D216" s="471">
        <f>-D206</f>
        <v/>
      </c>
      <c r="E216" s="471">
        <f>-E206</f>
        <v/>
      </c>
      <c r="F216" s="471">
        <f>-F206</f>
        <v/>
      </c>
      <c r="G216" s="471">
        <f>-G206</f>
        <v/>
      </c>
      <c r="H216" s="471">
        <f>-H206</f>
        <v/>
      </c>
      <c r="I216" s="471">
        <f>-I206</f>
        <v/>
      </c>
      <c r="J216" s="471">
        <f>-J206</f>
        <v/>
      </c>
      <c r="K216" s="471">
        <f>-K206</f>
        <v/>
      </c>
      <c r="L216" s="471">
        <f>-L206</f>
        <v/>
      </c>
      <c r="M216" s="471">
        <f>-M206</f>
        <v/>
      </c>
      <c r="N216" s="471">
        <f>-N206</f>
        <v/>
      </c>
      <c r="O216" s="474">
        <f>-O206</f>
        <v/>
      </c>
      <c r="P216" s="483">
        <f>IF(D20=15%,0,IF(D20=25%,-O206,N216))</f>
        <v/>
      </c>
      <c r="Q216" s="16" t="n"/>
      <c r="R216" s="16" t="n"/>
      <c r="S216" s="16" t="n"/>
      <c r="T216" s="16" t="n"/>
      <c r="U216" s="16" t="n"/>
      <c r="V216" s="16" t="n"/>
      <c r="W216" s="16" t="n"/>
      <c r="X216" s="16" t="n"/>
      <c r="Y216" s="16" t="n"/>
      <c r="Z216" s="16" t="n"/>
    </row>
    <row r="217" ht="12.75" customHeight="1" s="588">
      <c r="A217" s="1" t="n"/>
      <c r="B217" s="1" t="n"/>
      <c r="C217" s="1" t="n"/>
      <c r="D217" s="1" t="n"/>
      <c r="E217" s="1" t="n"/>
      <c r="F217" s="1" t="n"/>
      <c r="G217" s="1" t="n"/>
      <c r="H217" s="1" t="n"/>
      <c r="I217" s="1" t="n"/>
      <c r="J217" s="1" t="n"/>
      <c r="K217" s="1" t="n"/>
      <c r="L217" s="1" t="n"/>
      <c r="M217" s="1" t="n"/>
      <c r="N217" s="1" t="n"/>
      <c r="O217" s="1" t="n"/>
      <c r="P217" s="1" t="n"/>
      <c r="Q217" s="16" t="n"/>
      <c r="R217" s="16" t="n"/>
      <c r="S217" s="16" t="n"/>
      <c r="T217" s="16" t="n"/>
      <c r="U217" s="16" t="n"/>
      <c r="V217" s="16" t="n"/>
      <c r="W217" s="16" t="n"/>
      <c r="X217" s="16" t="n"/>
      <c r="Y217" s="16" t="n"/>
      <c r="Z217" s="16" t="n"/>
    </row>
    <row r="218" ht="12.75" customHeight="1" s="588">
      <c r="A218" s="1" t="n"/>
      <c r="B218" s="1" t="n"/>
      <c r="C218" s="1" t="n"/>
      <c r="D218" s="1" t="n"/>
      <c r="E218" s="1" t="n"/>
      <c r="F218" s="1" t="n"/>
      <c r="G218" s="1" t="n"/>
      <c r="H218" s="1" t="n"/>
      <c r="I218" s="1" t="n"/>
      <c r="J218" s="1" t="n"/>
      <c r="K218" s="1" t="n"/>
      <c r="L218" s="1" t="n"/>
      <c r="M218" s="1" t="n"/>
      <c r="N218" s="1" t="n"/>
      <c r="O218" s="1" t="n"/>
      <c r="P218" s="771" t="inlineStr">
        <is>
          <t>Pte. pago a fin año</t>
        </is>
      </c>
      <c r="Q218" s="16" t="n"/>
      <c r="R218" s="16" t="n"/>
      <c r="S218" s="16" t="n"/>
      <c r="T218" s="16" t="n"/>
      <c r="U218" s="16" t="n"/>
      <c r="V218" s="16" t="n"/>
      <c r="W218" s="16" t="n"/>
      <c r="X218" s="16" t="n"/>
      <c r="Y218" s="16" t="n"/>
      <c r="Z218" s="16" t="n"/>
    </row>
    <row r="219" ht="12.75" customHeight="1" s="588">
      <c r="A219" s="789" t="n"/>
      <c r="B219" s="598" t="n"/>
      <c r="C219" s="455" t="inlineStr">
        <is>
          <t>Mes 1</t>
        </is>
      </c>
      <c r="D219" s="455" t="inlineStr">
        <is>
          <t>Mes 2</t>
        </is>
      </c>
      <c r="E219" s="455" t="inlineStr">
        <is>
          <t>Mes 3</t>
        </is>
      </c>
      <c r="F219" s="455" t="inlineStr">
        <is>
          <t>Mes 4</t>
        </is>
      </c>
      <c r="G219" s="455" t="inlineStr">
        <is>
          <t>Mes 5</t>
        </is>
      </c>
      <c r="H219" s="455" t="inlineStr">
        <is>
          <t>Mes 6</t>
        </is>
      </c>
      <c r="I219" s="455" t="inlineStr">
        <is>
          <t>Mes 7</t>
        </is>
      </c>
      <c r="J219" s="455" t="inlineStr">
        <is>
          <t>Mes 8</t>
        </is>
      </c>
      <c r="K219" s="455" t="inlineStr">
        <is>
          <t>Mes 9</t>
        </is>
      </c>
      <c r="L219" s="455" t="inlineStr">
        <is>
          <t>Mes 10</t>
        </is>
      </c>
      <c r="M219" s="455" t="inlineStr">
        <is>
          <t>Mes 11</t>
        </is>
      </c>
      <c r="N219" s="455" t="inlineStr">
        <is>
          <t>Mes 12</t>
        </is>
      </c>
      <c r="O219" s="363" t="inlineStr">
        <is>
          <t>TOTAL AÑO</t>
        </is>
      </c>
      <c r="P219" s="712" t="n"/>
      <c r="Q219" s="16" t="n"/>
      <c r="R219" s="16" t="n"/>
      <c r="S219" s="16" t="n"/>
      <c r="T219" s="16" t="n"/>
      <c r="U219" s="16" t="n"/>
      <c r="V219" s="16" t="n"/>
      <c r="W219" s="16" t="n"/>
      <c r="X219" s="16" t="n"/>
      <c r="Y219" s="16" t="n"/>
      <c r="Z219" s="16" t="n"/>
    </row>
    <row r="220" ht="12.75" customHeight="1" s="588">
      <c r="A220" s="788" t="inlineStr">
        <is>
          <t>Seguridad Social</t>
        </is>
      </c>
      <c r="B220" s="591" t="n"/>
      <c r="C220" s="447">
        <f>IF(C150="n/a",(C148+C154+C160+C166)/12,0)+N174/12</f>
        <v/>
      </c>
      <c r="D220" s="485">
        <f>C220</f>
        <v/>
      </c>
      <c r="E220" s="485">
        <f>D220</f>
        <v/>
      </c>
      <c r="F220" s="485">
        <f>E220</f>
        <v/>
      </c>
      <c r="G220" s="485">
        <f>F220</f>
        <v/>
      </c>
      <c r="H220" s="485">
        <f>G220</f>
        <v/>
      </c>
      <c r="I220" s="485">
        <f>H220</f>
        <v/>
      </c>
      <c r="J220" s="485">
        <f>I220</f>
        <v/>
      </c>
      <c r="K220" s="485">
        <f>J220</f>
        <v/>
      </c>
      <c r="L220" s="485">
        <f>K220</f>
        <v/>
      </c>
      <c r="M220" s="485">
        <f>L220</f>
        <v/>
      </c>
      <c r="N220" s="485">
        <f>M220</f>
        <v/>
      </c>
      <c r="O220" s="486">
        <f>SUM(C220:N220)</f>
        <v/>
      </c>
      <c r="P220" s="486">
        <f>N174/12</f>
        <v/>
      </c>
      <c r="Q220" s="16" t="n"/>
      <c r="R220" s="16" t="n"/>
      <c r="S220" s="16" t="n"/>
      <c r="T220" s="16" t="n"/>
      <c r="U220" s="16" t="n"/>
      <c r="V220" s="16" t="n"/>
      <c r="W220" s="16" t="n"/>
      <c r="X220" s="16" t="n"/>
      <c r="Y220" s="16" t="n"/>
      <c r="Z220" s="16" t="n"/>
    </row>
    <row r="221" ht="12.75" customHeight="1" s="588">
      <c r="A221" s="1" t="n"/>
      <c r="B221" s="1" t="n"/>
      <c r="C221" s="1" t="n"/>
      <c r="D221" s="1" t="n"/>
      <c r="E221" s="1" t="n"/>
      <c r="F221" s="1" t="n"/>
      <c r="G221" s="1" t="n"/>
      <c r="H221" s="1" t="n"/>
      <c r="I221" s="1" t="n"/>
      <c r="J221" s="1" t="n"/>
      <c r="K221" s="1" t="n"/>
      <c r="L221" s="1" t="n"/>
      <c r="M221" s="1" t="n"/>
      <c r="N221" s="1" t="n"/>
      <c r="O221" s="1" t="n"/>
      <c r="P221" s="1" t="n"/>
      <c r="Q221" s="16" t="n"/>
      <c r="R221" s="16" t="n"/>
      <c r="S221" s="16" t="n"/>
      <c r="T221" s="16" t="n"/>
      <c r="U221" s="16" t="n"/>
      <c r="V221" s="16" t="n"/>
      <c r="W221" s="16" t="n"/>
      <c r="X221" s="16" t="n"/>
      <c r="Y221" s="16" t="n"/>
      <c r="Z221" s="16" t="n"/>
    </row>
    <row r="222" ht="12.75" customHeight="1" s="588">
      <c r="A222" s="1" t="n"/>
      <c r="B222" s="1" t="n"/>
      <c r="C222" s="1" t="n"/>
      <c r="D222" s="1" t="n"/>
      <c r="E222" s="1" t="n"/>
      <c r="F222" s="1" t="n"/>
      <c r="G222" s="1" t="n"/>
      <c r="H222" s="1" t="n"/>
      <c r="I222" s="1" t="n"/>
      <c r="J222" s="1" t="n"/>
      <c r="K222" s="1" t="n"/>
      <c r="L222" s="1" t="n"/>
      <c r="M222" s="1" t="n"/>
      <c r="N222" s="1" t="n"/>
      <c r="O222" s="1" t="n"/>
      <c r="P222" s="771" t="inlineStr">
        <is>
          <t>Pte. pago a fin año</t>
        </is>
      </c>
      <c r="Q222" s="16" t="n"/>
      <c r="R222" s="16" t="n"/>
      <c r="S222" s="16" t="n"/>
      <c r="T222" s="16" t="n"/>
      <c r="U222" s="16" t="n"/>
      <c r="V222" s="16" t="n"/>
      <c r="W222" s="16" t="n"/>
      <c r="X222" s="16" t="n"/>
      <c r="Y222" s="16" t="n"/>
      <c r="Z222" s="16" t="n"/>
    </row>
    <row r="223" ht="12.75" customHeight="1" s="588">
      <c r="A223" s="789" t="n"/>
      <c r="B223" s="598" t="n"/>
      <c r="C223" s="455" t="inlineStr">
        <is>
          <t>Mes 1</t>
        </is>
      </c>
      <c r="D223" s="455" t="inlineStr">
        <is>
          <t>Mes 2</t>
        </is>
      </c>
      <c r="E223" s="455" t="inlineStr">
        <is>
          <t>Mes 3</t>
        </is>
      </c>
      <c r="F223" s="455" t="inlineStr">
        <is>
          <t>Mes 4</t>
        </is>
      </c>
      <c r="G223" s="455" t="inlineStr">
        <is>
          <t>Mes 5</t>
        </is>
      </c>
      <c r="H223" s="455" t="inlineStr">
        <is>
          <t>Mes 6</t>
        </is>
      </c>
      <c r="I223" s="455" t="inlineStr">
        <is>
          <t>Mes 7</t>
        </is>
      </c>
      <c r="J223" s="455" t="inlineStr">
        <is>
          <t>Mes 8</t>
        </is>
      </c>
      <c r="K223" s="455" t="inlineStr">
        <is>
          <t>Mes 9</t>
        </is>
      </c>
      <c r="L223" s="455" t="inlineStr">
        <is>
          <t>Mes 10</t>
        </is>
      </c>
      <c r="M223" s="455" t="inlineStr">
        <is>
          <t>Mes 11</t>
        </is>
      </c>
      <c r="N223" s="455" t="inlineStr">
        <is>
          <t>Mes 12</t>
        </is>
      </c>
      <c r="O223" s="363" t="inlineStr">
        <is>
          <t>TOTAL AÑO</t>
        </is>
      </c>
      <c r="P223" s="712" t="n"/>
      <c r="Q223" s="16" t="n"/>
      <c r="R223" s="16" t="n"/>
      <c r="S223" s="16" t="n"/>
      <c r="T223" s="16" t="n"/>
      <c r="U223" s="16" t="n"/>
      <c r="V223" s="16" t="n"/>
      <c r="W223" s="16" t="n"/>
      <c r="X223" s="16" t="n"/>
      <c r="Y223" s="16" t="n"/>
      <c r="Z223" s="16" t="n"/>
    </row>
    <row r="224" ht="12.75" customHeight="1" s="588">
      <c r="A224" s="788" t="inlineStr">
        <is>
          <t>Retenciones IRPF</t>
        </is>
      </c>
      <c r="B224" s="591" t="n"/>
      <c r="C224" s="447">
        <f>C175/12+N175/12</f>
        <v/>
      </c>
      <c r="D224" s="485">
        <f>C224</f>
        <v/>
      </c>
      <c r="E224" s="485">
        <f>D224</f>
        <v/>
      </c>
      <c r="F224" s="485">
        <f>E224</f>
        <v/>
      </c>
      <c r="G224" s="485">
        <f>F224</f>
        <v/>
      </c>
      <c r="H224" s="485">
        <f>G224</f>
        <v/>
      </c>
      <c r="I224" s="485">
        <f>H224</f>
        <v/>
      </c>
      <c r="J224" s="485">
        <f>I224</f>
        <v/>
      </c>
      <c r="K224" s="485">
        <f>J224</f>
        <v/>
      </c>
      <c r="L224" s="485">
        <f>K224</f>
        <v/>
      </c>
      <c r="M224" s="485">
        <f>L224</f>
        <v/>
      </c>
      <c r="N224" s="485">
        <f>M224</f>
        <v/>
      </c>
      <c r="O224" s="486">
        <f>SUM(C224:N224)</f>
        <v/>
      </c>
      <c r="P224" s="486">
        <f>N225</f>
        <v/>
      </c>
      <c r="Q224" s="16" t="n"/>
      <c r="R224" s="16" t="n"/>
      <c r="S224" s="16" t="n"/>
      <c r="T224" s="16" t="n"/>
      <c r="U224" s="16" t="n"/>
      <c r="V224" s="16" t="n"/>
      <c r="W224" s="16" t="n"/>
      <c r="X224" s="16" t="n"/>
      <c r="Y224" s="16" t="n"/>
      <c r="Z224" s="16" t="n"/>
    </row>
    <row r="225" ht="12.75" customHeight="1" s="588">
      <c r="A225" s="788" t="inlineStr">
        <is>
          <t>A INGRESAR AEAT</t>
        </is>
      </c>
      <c r="B225" s="591" t="n"/>
      <c r="C225" s="487" t="n"/>
      <c r="D225" s="488" t="n"/>
      <c r="E225" s="485">
        <f>SUM(C224:E224)</f>
        <v/>
      </c>
      <c r="F225" s="488" t="n"/>
      <c r="G225" s="488" t="n"/>
      <c r="H225" s="485">
        <f>SUM(F224:H224)</f>
        <v/>
      </c>
      <c r="I225" s="488" t="n"/>
      <c r="J225" s="488" t="n"/>
      <c r="K225" s="485">
        <f>SUM(I224:K224)</f>
        <v/>
      </c>
      <c r="L225" s="488" t="n"/>
      <c r="M225" s="488" t="n"/>
      <c r="N225" s="489">
        <f>SUM(L224:N224)</f>
        <v/>
      </c>
      <c r="O225" s="1" t="n"/>
      <c r="P225" s="1" t="n"/>
      <c r="Q225" s="16" t="n"/>
      <c r="R225" s="16" t="n"/>
      <c r="S225" s="16" t="n"/>
      <c r="T225" s="16" t="n"/>
      <c r="U225" s="16" t="n"/>
      <c r="V225" s="16" t="n"/>
      <c r="W225" s="16" t="n"/>
      <c r="X225" s="16" t="n"/>
      <c r="Y225" s="16" t="n"/>
      <c r="Z225" s="16" t="n"/>
    </row>
    <row r="226" ht="12.75" customHeight="1" s="588">
      <c r="A226" s="490" t="n"/>
      <c r="B226" s="490" t="n"/>
      <c r="C226" s="1" t="n"/>
      <c r="D226" s="1" t="n"/>
      <c r="E226" s="1" t="n"/>
      <c r="F226" s="1" t="n"/>
      <c r="G226" s="1" t="n"/>
      <c r="H226" s="1" t="n"/>
      <c r="I226" s="1" t="n"/>
      <c r="J226" s="1" t="n"/>
      <c r="K226" s="1" t="n"/>
      <c r="L226" s="1" t="n"/>
      <c r="M226" s="1" t="n"/>
      <c r="N226" s="1" t="n"/>
      <c r="O226" s="1" t="n"/>
      <c r="P226" s="1" t="n"/>
      <c r="Q226" s="16" t="n"/>
      <c r="R226" s="16" t="n"/>
      <c r="S226" s="16" t="n"/>
      <c r="T226" s="16" t="n"/>
      <c r="U226" s="16" t="n"/>
      <c r="V226" s="16" t="n"/>
      <c r="W226" s="16" t="n"/>
      <c r="X226" s="16" t="n"/>
      <c r="Y226" s="16" t="n"/>
      <c r="Z226" s="16" t="n"/>
    </row>
    <row r="227" ht="13.5" customHeight="1" s="588">
      <c r="A227" s="789" t="n"/>
      <c r="B227" s="598" t="n"/>
      <c r="C227" s="455" t="n"/>
      <c r="D227" s="455" t="n"/>
      <c r="E227" s="455" t="n"/>
      <c r="F227" s="455" t="n"/>
      <c r="G227" s="455" t="n"/>
      <c r="H227" s="455" t="n"/>
      <c r="I227" s="455" t="n"/>
      <c r="J227" s="455" t="n"/>
      <c r="K227" s="455" t="n"/>
      <c r="L227" s="455" t="n"/>
      <c r="M227" s="455" t="n"/>
      <c r="N227" s="455" t="n"/>
      <c r="O227" s="83" t="n"/>
      <c r="P227" s="770" t="n"/>
      <c r="Q227" s="16" t="n"/>
      <c r="R227" s="16" t="n"/>
      <c r="S227" s="16" t="n"/>
      <c r="T227" s="16" t="n"/>
      <c r="U227" s="16" t="n"/>
      <c r="V227" s="16" t="n"/>
      <c r="W227" s="16" t="n"/>
      <c r="X227" s="16" t="n"/>
      <c r="Y227" s="16" t="n"/>
      <c r="Z227" s="16" t="n"/>
    </row>
    <row r="228" ht="12.75" customHeight="1" s="588">
      <c r="A228" s="788" t="inlineStr">
        <is>
          <t>IVA</t>
        </is>
      </c>
      <c r="B228" s="591" t="n"/>
      <c r="C228" s="455" t="inlineStr">
        <is>
          <t>Mes 1</t>
        </is>
      </c>
      <c r="D228" s="455" t="inlineStr">
        <is>
          <t>Mes 2</t>
        </is>
      </c>
      <c r="E228" s="455" t="inlineStr">
        <is>
          <t>Mes 3</t>
        </is>
      </c>
      <c r="F228" s="455" t="inlineStr">
        <is>
          <t>Mes 4</t>
        </is>
      </c>
      <c r="G228" s="455" t="inlineStr">
        <is>
          <t>Mes 5</t>
        </is>
      </c>
      <c r="H228" s="455" t="inlineStr">
        <is>
          <t>Mes 6</t>
        </is>
      </c>
      <c r="I228" s="455" t="inlineStr">
        <is>
          <t>Mes 7</t>
        </is>
      </c>
      <c r="J228" s="455" t="inlineStr">
        <is>
          <t>Mes 8</t>
        </is>
      </c>
      <c r="K228" s="455" t="inlineStr">
        <is>
          <t>Mes 9</t>
        </is>
      </c>
      <c r="L228" s="455" t="inlineStr">
        <is>
          <t>Mes 10</t>
        </is>
      </c>
      <c r="M228" s="455" t="inlineStr">
        <is>
          <t>Mes 11</t>
        </is>
      </c>
      <c r="N228" s="455" t="inlineStr">
        <is>
          <t>Mes 12</t>
        </is>
      </c>
      <c r="O228" s="309" t="inlineStr">
        <is>
          <t>TOTAL AÑO</t>
        </is>
      </c>
      <c r="Q228" s="16" t="n"/>
      <c r="R228" s="16" t="n"/>
      <c r="S228" s="16" t="n"/>
      <c r="T228" s="16" t="n"/>
      <c r="U228" s="16" t="n"/>
      <c r="V228" s="16" t="n"/>
      <c r="W228" s="16" t="n"/>
      <c r="X228" s="16" t="n"/>
      <c r="Y228" s="16" t="n"/>
      <c r="Z228" s="16" t="n"/>
    </row>
    <row r="229" ht="12.75" customHeight="1" s="588">
      <c r="A229" s="790" t="inlineStr">
        <is>
          <t>De Inversiones Iniciales</t>
        </is>
      </c>
      <c r="B229" s="593" t="n"/>
      <c r="C229" s="492">
        <f>-D68</f>
        <v/>
      </c>
      <c r="D229" s="229" t="n"/>
      <c r="E229" s="229" t="n"/>
      <c r="F229" s="229" t="n"/>
      <c r="G229" s="229" t="n"/>
      <c r="H229" s="229" t="n"/>
      <c r="I229" s="229" t="n"/>
      <c r="J229" s="229" t="n"/>
      <c r="K229" s="229" t="n"/>
      <c r="L229" s="229" t="n"/>
      <c r="M229" s="229" t="n"/>
      <c r="N229" s="229" t="n"/>
      <c r="O229" s="359">
        <f>SUM(C229:N229)</f>
        <v/>
      </c>
      <c r="P229" s="1" t="n"/>
      <c r="Q229" s="16" t="n"/>
      <c r="R229" s="16" t="n"/>
      <c r="S229" s="16" t="n"/>
      <c r="T229" s="16" t="n"/>
      <c r="U229" s="16" t="n"/>
      <c r="V229" s="16" t="n"/>
      <c r="W229" s="16" t="n"/>
      <c r="X229" s="16" t="n"/>
      <c r="Y229" s="16" t="n"/>
      <c r="Z229" s="16" t="n"/>
    </row>
    <row r="230" ht="12.75" customHeight="1" s="588">
      <c r="A230" s="791" t="inlineStr">
        <is>
          <t>Repercutido del mes</t>
        </is>
      </c>
      <c r="C230" s="492">
        <f>$G$13*C180</f>
        <v/>
      </c>
      <c r="D230" s="492">
        <f>$G$13*D180</f>
        <v/>
      </c>
      <c r="E230" s="492">
        <f>$G$13*E180</f>
        <v/>
      </c>
      <c r="F230" s="492">
        <f>$G$13*F180</f>
        <v/>
      </c>
      <c r="G230" s="492">
        <f>$G$13*G180</f>
        <v/>
      </c>
      <c r="H230" s="492">
        <f>$G$13*H180</f>
        <v/>
      </c>
      <c r="I230" s="492">
        <f>$G$13*I180</f>
        <v/>
      </c>
      <c r="J230" s="492">
        <f>$G$13*J180</f>
        <v/>
      </c>
      <c r="K230" s="492">
        <f>$G$13*K180</f>
        <v/>
      </c>
      <c r="L230" s="492">
        <f>$G$13*L180</f>
        <v/>
      </c>
      <c r="M230" s="492">
        <f>$G$13*M180</f>
        <v/>
      </c>
      <c r="N230" s="492">
        <f>$G$13*N180</f>
        <v/>
      </c>
      <c r="O230" s="359">
        <f>SUM(C230:N230)</f>
        <v/>
      </c>
      <c r="P230" s="1" t="n"/>
      <c r="Q230" s="16" t="n"/>
      <c r="R230" s="16" t="n"/>
      <c r="S230" s="16" t="n"/>
      <c r="T230" s="16" t="n"/>
      <c r="U230" s="16" t="n"/>
      <c r="V230" s="16" t="n"/>
      <c r="W230" s="16" t="n"/>
      <c r="X230" s="16" t="n"/>
      <c r="Y230" s="16" t="n"/>
      <c r="Z230" s="16" t="n"/>
    </row>
    <row r="231" ht="12.75" customHeight="1" s="588">
      <c r="A231" s="791" t="inlineStr">
        <is>
          <t>Soportado del mes</t>
        </is>
      </c>
      <c r="C231" s="492">
        <f>IF($G$13=0%,0,-$G$11*C241+$G$15*SUM(C187:C194)+IF($C$150="n/a",0,$G$15*C183))</f>
        <v/>
      </c>
      <c r="D231" s="492">
        <f>IF($G$13=0%,0,-$G$11*D241+$G$15*SUM(D187:D194)+IF($C$150="n/a",0,$G$15*D183))</f>
        <v/>
      </c>
      <c r="E231" s="492">
        <f>IF($G$13=0%,0,-$G$11*E241+$G$15*SUM(E187:E194)+IF($C$150="n/a",0,$G$15*E183))</f>
        <v/>
      </c>
      <c r="F231" s="492">
        <f>IF($G$13=0%,0,-$G$11*F241+$G$15*SUM(F187:F194)+IF($C$150="n/a",0,$G$15*F183))</f>
        <v/>
      </c>
      <c r="G231" s="492">
        <f>IF($G$13=0%,0,-$G$11*G241+$G$15*SUM(G187:G194)+IF($C$150="n/a",0,$G$15*G183))</f>
        <v/>
      </c>
      <c r="H231" s="492">
        <f>IF($G$13=0%,0,-$G$11*H241+$G$15*SUM(H187:H194)+IF($C$150="n/a",0,$G$15*H183))</f>
        <v/>
      </c>
      <c r="I231" s="492">
        <f>IF($G$13=0%,0,-$G$11*I241+$G$15*SUM(I187:I194)+IF($C$150="n/a",0,$G$15*I183))</f>
        <v/>
      </c>
      <c r="J231" s="492">
        <f>IF($G$13=0%,0,-$G$11*J241+$G$15*SUM(J187:J194)+IF($C$150="n/a",0,$G$15*J183))</f>
        <v/>
      </c>
      <c r="K231" s="492">
        <f>IF($G$13=0%,0,-$G$11*K241+$G$15*SUM(K187:K194)+IF($C$150="n/a",0,$G$15*K183))</f>
        <v/>
      </c>
      <c r="L231" s="492">
        <f>IF($G$13=0%,0,-$G$11*L241+$G$15*SUM(L187:L194)+IF($C$150="n/a",0,$G$15*L183))</f>
        <v/>
      </c>
      <c r="M231" s="492">
        <f>IF($G$13=0%,0,-$G$11*M241+$G$15*SUM(M187:M194)+IF($C$150="n/a",0,$G$15*M183))</f>
        <v/>
      </c>
      <c r="N231" s="492">
        <f>IF($G$13=0%,0,-$G$11*N241+$G$15*SUM(N187:N194)+IF($C$150="n/a",0,$G$15*N183))</f>
        <v/>
      </c>
      <c r="O231" s="359">
        <f>SUM(C231:N231)</f>
        <v/>
      </c>
      <c r="P231" s="771" t="inlineStr">
        <is>
          <t>Pte. pago a fin año</t>
        </is>
      </c>
      <c r="Q231" s="16" t="n"/>
      <c r="R231" s="16" t="n"/>
      <c r="S231" s="16" t="n"/>
      <c r="T231" s="16" t="n"/>
      <c r="U231" s="16" t="n"/>
      <c r="V231" s="16" t="n"/>
      <c r="W231" s="16" t="n"/>
      <c r="X231" s="16" t="n"/>
      <c r="Y231" s="16" t="n"/>
      <c r="Z231" s="16" t="n"/>
    </row>
    <row r="232" ht="12.75" customHeight="1" s="588">
      <c r="A232" s="788" t="inlineStr">
        <is>
          <t>IVA del mes</t>
        </is>
      </c>
      <c r="B232" s="591" t="n"/>
      <c r="C232" s="494">
        <f>C229+C230+C231</f>
        <v/>
      </c>
      <c r="D232" s="495">
        <f>D230+D231</f>
        <v/>
      </c>
      <c r="E232" s="495">
        <f>E230+E231</f>
        <v/>
      </c>
      <c r="F232" s="495">
        <f>F230+F231</f>
        <v/>
      </c>
      <c r="G232" s="495">
        <f>G230+G231</f>
        <v/>
      </c>
      <c r="H232" s="495">
        <f>H230+H231</f>
        <v/>
      </c>
      <c r="I232" s="495">
        <f>I230+I231</f>
        <v/>
      </c>
      <c r="J232" s="495">
        <f>J230+J231</f>
        <v/>
      </c>
      <c r="K232" s="495">
        <f>K230+K231</f>
        <v/>
      </c>
      <c r="L232" s="495">
        <f>L230+L231</f>
        <v/>
      </c>
      <c r="M232" s="495">
        <f>M230+M231</f>
        <v/>
      </c>
      <c r="N232" s="496">
        <f>N230+N231</f>
        <v/>
      </c>
      <c r="O232" s="358" t="n"/>
      <c r="P232" s="712" t="n"/>
      <c r="Q232" s="16" t="n"/>
      <c r="R232" s="16" t="n"/>
      <c r="S232" s="16" t="n"/>
      <c r="T232" s="16" t="n"/>
      <c r="U232" s="16" t="n"/>
      <c r="V232" s="16" t="n"/>
      <c r="W232" s="16" t="n"/>
      <c r="X232" s="16" t="n"/>
      <c r="Y232" s="16" t="n"/>
      <c r="Z232" s="16" t="n"/>
    </row>
    <row r="233" ht="12.75" customHeight="1" s="588">
      <c r="A233" s="788" t="inlineStr">
        <is>
          <t>LIQUIDACIÓN</t>
        </is>
      </c>
      <c r="B233" s="591" t="n"/>
      <c r="C233" s="497" t="n"/>
      <c r="D233" s="498" t="n"/>
      <c r="E233" s="465">
        <f>IF(SUM(C232:E232)&lt;0,0,SUM(C232:E232))</f>
        <v/>
      </c>
      <c r="F233" s="498" t="n"/>
      <c r="G233" s="498" t="n"/>
      <c r="H233" s="465">
        <f>IF(SUM(C232:H232)&lt;0,0,SUM(C232:H232)-E233)</f>
        <v/>
      </c>
      <c r="I233" s="498" t="n"/>
      <c r="J233" s="498" t="n"/>
      <c r="K233" s="465">
        <f>IF(SUM(C232:K232)&lt;0,0,SUM(C232:K232)-H233-E233)</f>
        <v/>
      </c>
      <c r="L233" s="498" t="n"/>
      <c r="M233" s="498" t="n"/>
      <c r="N233" s="465">
        <f>IF(SUM(C232:N232)&lt;0,0,SUM(C232:N232)-K233-H233-E233)</f>
        <v/>
      </c>
      <c r="O233" s="359">
        <f>SUM(C233:N233)</f>
        <v/>
      </c>
      <c r="P233" s="359">
        <f>IF(SUM(C232:N232)&lt;0,SUM(C232:N232),N233)</f>
        <v/>
      </c>
      <c r="Q233" s="16" t="n"/>
      <c r="R233" s="16" t="n"/>
      <c r="S233" s="16" t="n"/>
      <c r="T233" s="16" t="n"/>
      <c r="U233" s="16" t="n"/>
      <c r="V233" s="16" t="n"/>
      <c r="W233" s="16" t="n"/>
      <c r="X233" s="16" t="n"/>
      <c r="Y233" s="16" t="n"/>
      <c r="Z233" s="16" t="n"/>
    </row>
    <row r="234" ht="12.75" customHeight="1" s="588">
      <c r="A234" s="1" t="n"/>
      <c r="B234" s="1" t="n"/>
      <c r="C234" s="1" t="n"/>
      <c r="D234" s="1" t="n"/>
      <c r="E234" s="1" t="n"/>
      <c r="F234" s="1" t="n"/>
      <c r="G234" s="1" t="n"/>
      <c r="H234" s="1" t="n"/>
      <c r="I234" s="1" t="n"/>
      <c r="J234" s="1" t="n"/>
      <c r="K234" s="1" t="n"/>
      <c r="L234" s="1" t="n"/>
      <c r="M234" s="1" t="n"/>
      <c r="N234" s="1" t="n"/>
      <c r="O234" s="1" t="n"/>
      <c r="P234" s="1" t="n"/>
      <c r="Q234" s="16" t="n"/>
      <c r="R234" s="16" t="n"/>
      <c r="S234" s="16" t="n"/>
      <c r="T234" s="16" t="n"/>
      <c r="U234" s="16" t="n"/>
      <c r="V234" s="16" t="n"/>
      <c r="W234" s="16" t="n"/>
      <c r="X234" s="16" t="n"/>
      <c r="Y234" s="16" t="n"/>
      <c r="Z234" s="16" t="n"/>
    </row>
    <row r="235" ht="12.75" customHeight="1" s="588">
      <c r="A235" s="1" t="n"/>
      <c r="B235" s="1" t="n"/>
      <c r="C235" s="1" t="n"/>
      <c r="D235" s="1" t="n"/>
      <c r="E235" s="1" t="n"/>
      <c r="F235" s="1" t="n"/>
      <c r="G235" s="1" t="n"/>
      <c r="H235" s="1" t="n"/>
      <c r="I235" s="1" t="n"/>
      <c r="J235" s="1" t="n"/>
      <c r="K235" s="1" t="n"/>
      <c r="L235" s="1" t="n"/>
      <c r="M235" s="1" t="n"/>
      <c r="N235" s="1" t="n"/>
      <c r="O235" s="1" t="n"/>
      <c r="P235" s="1" t="n"/>
      <c r="Q235" s="16" t="n"/>
      <c r="R235" s="16" t="n"/>
      <c r="S235" s="16" t="n"/>
      <c r="T235" s="16" t="n"/>
      <c r="U235" s="16" t="n"/>
      <c r="V235" s="16" t="n"/>
      <c r="W235" s="16" t="n"/>
      <c r="X235" s="16" t="n"/>
      <c r="Y235" s="16" t="n"/>
      <c r="Z235" s="16" t="n"/>
    </row>
    <row r="236" ht="12.75" customHeight="1" s="588">
      <c r="A236" s="1" t="n"/>
      <c r="B236" s="1" t="n"/>
      <c r="C236" s="1" t="n"/>
      <c r="D236" s="1" t="n"/>
      <c r="E236" s="1" t="n"/>
      <c r="F236" s="366" t="n"/>
      <c r="G236" s="769" t="inlineStr">
        <is>
          <t>EXISTENCIAS AÑO 1</t>
        </is>
      </c>
      <c r="H236" s="649" t="n"/>
      <c r="I236" s="649" t="n"/>
      <c r="J236" s="649" t="n"/>
      <c r="K236" s="649" t="n"/>
      <c r="L236" s="369" t="n"/>
      <c r="M236" s="1" t="n"/>
      <c r="N236" s="1" t="n"/>
      <c r="O236" s="1" t="n"/>
      <c r="P236" s="1" t="n"/>
      <c r="Q236" s="16" t="n"/>
      <c r="R236" s="16" t="n"/>
      <c r="S236" s="16" t="n"/>
      <c r="T236" s="16" t="n"/>
      <c r="U236" s="16" t="n"/>
      <c r="V236" s="16" t="n"/>
      <c r="W236" s="16" t="n"/>
      <c r="X236" s="16" t="n"/>
      <c r="Y236" s="16" t="n"/>
      <c r="Z236" s="16" t="n"/>
    </row>
    <row r="237" ht="12.75" customHeight="1" s="588">
      <c r="A237" s="1" t="n"/>
      <c r="B237" s="1" t="n"/>
      <c r="C237" s="1" t="n"/>
      <c r="D237" s="1" t="n"/>
      <c r="E237" s="1" t="n"/>
      <c r="F237" s="1" t="n"/>
      <c r="G237" s="1" t="n"/>
      <c r="H237" s="1" t="n"/>
      <c r="I237" s="1" t="n"/>
      <c r="J237" s="1" t="n"/>
      <c r="K237" s="1" t="n"/>
      <c r="L237" s="1" t="n"/>
      <c r="M237" s="1" t="n"/>
      <c r="N237" s="1" t="n"/>
      <c r="O237" s="1" t="n"/>
      <c r="P237" s="1" t="n"/>
      <c r="Q237" s="16" t="n"/>
      <c r="R237" s="16" t="n"/>
      <c r="S237" s="16" t="n"/>
      <c r="T237" s="16" t="n"/>
      <c r="U237" s="16" t="n"/>
      <c r="V237" s="16" t="n"/>
      <c r="W237" s="16" t="n"/>
      <c r="X237" s="16" t="n"/>
      <c r="Y237" s="16" t="n"/>
      <c r="Z237" s="16" t="n"/>
    </row>
    <row r="238" ht="12.75" customHeight="1" s="588">
      <c r="A238" s="792" t="inlineStr">
        <is>
          <t>ALMACÉN</t>
        </is>
      </c>
      <c r="B238" s="594" t="n"/>
      <c r="C238" s="455" t="inlineStr">
        <is>
          <t>Mes 1</t>
        </is>
      </c>
      <c r="D238" s="455" t="inlineStr">
        <is>
          <t>Mes 2</t>
        </is>
      </c>
      <c r="E238" s="455" t="inlineStr">
        <is>
          <t>Mes 3</t>
        </is>
      </c>
      <c r="F238" s="455" t="inlineStr">
        <is>
          <t>Mes 4</t>
        </is>
      </c>
      <c r="G238" s="455" t="inlineStr">
        <is>
          <t>Mes 5</t>
        </is>
      </c>
      <c r="H238" s="455" t="inlineStr">
        <is>
          <t>Mes 6</t>
        </is>
      </c>
      <c r="I238" s="455" t="inlineStr">
        <is>
          <t>Mes 7</t>
        </is>
      </c>
      <c r="J238" s="455" t="inlineStr">
        <is>
          <t>Mes 8</t>
        </is>
      </c>
      <c r="K238" s="455" t="inlineStr">
        <is>
          <t>Mes 9</t>
        </is>
      </c>
      <c r="L238" s="455" t="inlineStr">
        <is>
          <t>Mes 10</t>
        </is>
      </c>
      <c r="M238" s="455" t="inlineStr">
        <is>
          <t>Mes 11</t>
        </is>
      </c>
      <c r="N238" s="455" t="inlineStr">
        <is>
          <t>Mes 12</t>
        </is>
      </c>
      <c r="O238" s="309" t="inlineStr">
        <is>
          <t>TOTAL AÑO</t>
        </is>
      </c>
      <c r="P238" s="1" t="n"/>
      <c r="Q238" s="16" t="n"/>
      <c r="R238" s="16" t="n"/>
      <c r="S238" s="16" t="n"/>
      <c r="T238" s="16" t="n"/>
      <c r="U238" s="16" t="n"/>
      <c r="V238" s="16" t="n"/>
      <c r="W238" s="16" t="n"/>
      <c r="X238" s="16" t="n"/>
      <c r="Y238" s="16" t="n"/>
      <c r="Z238" s="16" t="n"/>
    </row>
    <row r="239" ht="12.75" customHeight="1" s="588">
      <c r="A239" s="793" t="inlineStr">
        <is>
          <t>Valor Inicial</t>
        </is>
      </c>
      <c r="B239" s="593" t="n"/>
      <c r="C239" s="358">
        <f>D67</f>
        <v/>
      </c>
      <c r="D239" s="358">
        <f>C242</f>
        <v/>
      </c>
      <c r="E239" s="358">
        <f>D242</f>
        <v/>
      </c>
      <c r="F239" s="358">
        <f>E242</f>
        <v/>
      </c>
      <c r="G239" s="358">
        <f>F242</f>
        <v/>
      </c>
      <c r="H239" s="358">
        <f>G242</f>
        <v/>
      </c>
      <c r="I239" s="358">
        <f>H242</f>
        <v/>
      </c>
      <c r="J239" s="358">
        <f>I242</f>
        <v/>
      </c>
      <c r="K239" s="358">
        <f>J242</f>
        <v/>
      </c>
      <c r="L239" s="358">
        <f>K242</f>
        <v/>
      </c>
      <c r="M239" s="358">
        <f>L242</f>
        <v/>
      </c>
      <c r="N239" s="358">
        <f>M242</f>
        <v/>
      </c>
      <c r="O239" s="359">
        <f>C239</f>
        <v/>
      </c>
      <c r="P239" s="1" t="n"/>
      <c r="Q239" s="16" t="n"/>
      <c r="R239" s="16" t="n"/>
      <c r="S239" s="16" t="n"/>
      <c r="T239" s="16" t="n"/>
      <c r="U239" s="16" t="n"/>
      <c r="V239" s="16" t="n"/>
      <c r="W239" s="16" t="n"/>
      <c r="X239" s="16" t="n"/>
      <c r="Y239" s="16" t="n"/>
      <c r="Z239" s="16" t="n"/>
    </row>
    <row r="240" ht="12.75" customHeight="1" s="588">
      <c r="A240" s="490" t="inlineStr">
        <is>
          <t>Coste de Ventas</t>
        </is>
      </c>
      <c r="C240" s="358">
        <f>C181</f>
        <v/>
      </c>
      <c r="D240" s="358">
        <f>D181</f>
        <v/>
      </c>
      <c r="E240" s="358">
        <f>E181</f>
        <v/>
      </c>
      <c r="F240" s="358">
        <f>F181</f>
        <v/>
      </c>
      <c r="G240" s="358">
        <f>G181</f>
        <v/>
      </c>
      <c r="H240" s="358">
        <f>H181</f>
        <v/>
      </c>
      <c r="I240" s="358">
        <f>I181</f>
        <v/>
      </c>
      <c r="J240" s="358">
        <f>J181</f>
        <v/>
      </c>
      <c r="K240" s="358">
        <f>K181</f>
        <v/>
      </c>
      <c r="L240" s="358">
        <f>L181</f>
        <v/>
      </c>
      <c r="M240" s="358">
        <f>M181</f>
        <v/>
      </c>
      <c r="N240" s="358">
        <f>N181</f>
        <v/>
      </c>
      <c r="O240" s="359">
        <f>SUM(C240:N240)</f>
        <v/>
      </c>
      <c r="P240" s="1" t="n"/>
      <c r="Q240" s="16" t="n"/>
      <c r="R240" s="16" t="n"/>
      <c r="S240" s="16" t="n"/>
      <c r="T240" s="16" t="n"/>
      <c r="U240" s="16" t="n"/>
      <c r="V240" s="16" t="n"/>
      <c r="W240" s="16" t="n"/>
      <c r="X240" s="16" t="n"/>
      <c r="Y240" s="16" t="n"/>
      <c r="Z240" s="16" t="n"/>
    </row>
    <row r="241" ht="12.75" customHeight="1" s="588">
      <c r="A241" s="490" t="inlineStr">
        <is>
          <t>Compras</t>
        </is>
      </c>
      <c r="C241" s="406">
        <f>-C240</f>
        <v/>
      </c>
      <c r="D241" s="406">
        <f>-D240</f>
        <v/>
      </c>
      <c r="E241" s="406">
        <f>-E240</f>
        <v/>
      </c>
      <c r="F241" s="406">
        <f>-F240</f>
        <v/>
      </c>
      <c r="G241" s="406">
        <f>-G240</f>
        <v/>
      </c>
      <c r="H241" s="406">
        <f>-H240</f>
        <v/>
      </c>
      <c r="I241" s="406">
        <f>-I240</f>
        <v/>
      </c>
      <c r="J241" s="406">
        <f>-J240</f>
        <v/>
      </c>
      <c r="K241" s="406">
        <f>-K240</f>
        <v/>
      </c>
      <c r="L241" s="406">
        <f>-L240</f>
        <v/>
      </c>
      <c r="M241" s="406">
        <f>-M240</f>
        <v/>
      </c>
      <c r="N241" s="406">
        <f>-N240</f>
        <v/>
      </c>
      <c r="O241" s="359">
        <f>SUM(C241:N241)</f>
        <v/>
      </c>
      <c r="P241" s="1" t="n"/>
      <c r="Q241" s="16" t="n"/>
      <c r="R241" s="16" t="n"/>
      <c r="S241" s="16" t="n"/>
      <c r="T241" s="16" t="n"/>
      <c r="U241" s="16" t="n"/>
      <c r="V241" s="16" t="n"/>
      <c r="W241" s="16" t="n"/>
      <c r="X241" s="16" t="n"/>
      <c r="Y241" s="16" t="n"/>
      <c r="Z241" s="16" t="n"/>
    </row>
    <row r="242" ht="12.75" customHeight="1" s="588">
      <c r="A242" s="788" t="inlineStr">
        <is>
          <t>VALOR FINAL</t>
        </is>
      </c>
      <c r="B242" s="591" t="n"/>
      <c r="C242" s="447">
        <f>C239+C240+C241</f>
        <v/>
      </c>
      <c r="D242" s="465">
        <f>D239+D240+D241</f>
        <v/>
      </c>
      <c r="E242" s="465">
        <f>E239+E240+E241</f>
        <v/>
      </c>
      <c r="F242" s="465">
        <f>F239+F240+F241</f>
        <v/>
      </c>
      <c r="G242" s="465">
        <f>G239+G240+G241</f>
        <v/>
      </c>
      <c r="H242" s="465">
        <f>H239+H240+H241</f>
        <v/>
      </c>
      <c r="I242" s="465">
        <f>I239+I240+I241</f>
        <v/>
      </c>
      <c r="J242" s="465">
        <f>J239+J240+J241</f>
        <v/>
      </c>
      <c r="K242" s="465">
        <f>K239+K240+K241</f>
        <v/>
      </c>
      <c r="L242" s="465">
        <f>L239+L240+L241</f>
        <v/>
      </c>
      <c r="M242" s="465">
        <f>M239+M240+M241</f>
        <v/>
      </c>
      <c r="N242" s="465">
        <f>N239+N240+N241</f>
        <v/>
      </c>
      <c r="O242" s="359">
        <f>N242</f>
        <v/>
      </c>
      <c r="P242" s="1" t="n"/>
      <c r="Q242" s="16" t="n"/>
      <c r="R242" s="16" t="n"/>
      <c r="S242" s="16" t="n"/>
      <c r="T242" s="16" t="n"/>
      <c r="U242" s="16" t="n"/>
      <c r="V242" s="16" t="n"/>
      <c r="W242" s="16" t="n"/>
      <c r="X242" s="16" t="n"/>
      <c r="Y242" s="16" t="n"/>
      <c r="Z242" s="16" t="n"/>
    </row>
    <row r="243" ht="12.75" customHeight="1" s="588">
      <c r="A243" s="1" t="n"/>
      <c r="B243" s="1" t="n"/>
      <c r="C243" s="1" t="n"/>
      <c r="D243" s="1" t="n"/>
      <c r="E243" s="1" t="n"/>
      <c r="F243" s="1" t="n"/>
      <c r="G243" s="1" t="n"/>
      <c r="H243" s="1" t="n"/>
      <c r="I243" s="1" t="n"/>
      <c r="J243" s="1" t="n"/>
      <c r="K243" s="1" t="n"/>
      <c r="L243" s="1" t="n"/>
      <c r="M243" s="1" t="n"/>
      <c r="N243" s="1" t="n"/>
      <c r="O243" s="1" t="n"/>
      <c r="P243" s="1" t="n"/>
      <c r="Q243" s="16" t="n"/>
      <c r="R243" s="16" t="n"/>
      <c r="S243" s="16" t="n"/>
      <c r="T243" s="16" t="n"/>
      <c r="U243" s="16" t="n"/>
      <c r="V243" s="16" t="n"/>
      <c r="W243" s="16" t="n"/>
      <c r="X243" s="16" t="n"/>
      <c r="Y243" s="16" t="n"/>
      <c r="Z243" s="16" t="n"/>
    </row>
    <row r="244" ht="12.75" customHeight="1" s="588">
      <c r="A244" s="8" t="inlineStr">
        <is>
          <t>¿CUÁNTO Y CUÁNDO?</t>
        </is>
      </c>
      <c r="B244" s="1" t="n"/>
      <c r="C244" s="1" t="n"/>
      <c r="D244" s="1" t="n"/>
      <c r="E244" s="1" t="n"/>
      <c r="F244" s="1" t="n"/>
      <c r="G244" s="1" t="n"/>
      <c r="H244" s="1" t="n"/>
      <c r="I244" s="1" t="n"/>
      <c r="J244" s="185" t="n"/>
      <c r="K244" s="185" t="n"/>
      <c r="L244" s="1" t="n"/>
      <c r="M244" s="1" t="n"/>
      <c r="N244" s="1" t="n"/>
      <c r="O244" s="1" t="n"/>
      <c r="P244" s="185" t="inlineStr">
        <is>
          <t>Plan Financiero</t>
        </is>
      </c>
      <c r="Q244" s="16" t="n"/>
      <c r="R244" s="16" t="n"/>
      <c r="S244" s="16" t="n"/>
      <c r="T244" s="16" t="n"/>
      <c r="U244" s="16" t="n"/>
      <c r="V244" s="16" t="n"/>
      <c r="W244" s="16" t="n"/>
      <c r="X244" s="16" t="n"/>
      <c r="Y244" s="16" t="n"/>
      <c r="Z244" s="16" t="n"/>
    </row>
    <row r="245" ht="12.75" customHeight="1" s="588">
      <c r="A245" s="794" t="inlineStr">
        <is>
          <t>Plazo de Cobro (meses):</t>
        </is>
      </c>
      <c r="B245" s="590" t="n"/>
      <c r="C245" s="502" t="n">
        <v>1</v>
      </c>
      <c r="D245" s="1" t="n"/>
      <c r="E245" s="1" t="n"/>
      <c r="F245" s="768" t="inlineStr">
        <is>
          <t>TESORERÍA AÑO 1</t>
        </is>
      </c>
      <c r="G245" s="649" t="n"/>
      <c r="H245" s="649" t="n"/>
      <c r="I245" s="649" t="n"/>
      <c r="J245" s="649" t="n"/>
      <c r="K245" s="647" t="n"/>
      <c r="L245" s="1" t="n"/>
      <c r="M245" s="1" t="n"/>
      <c r="N245" s="794" t="inlineStr">
        <is>
          <t>Plazo de Pago (meses):</t>
        </is>
      </c>
      <c r="O245" s="590" t="n"/>
      <c r="P245" s="502" t="n">
        <v>0</v>
      </c>
      <c r="Q245" s="16" t="n"/>
      <c r="R245" s="16" t="n"/>
      <c r="S245" s="16" t="n"/>
      <c r="T245" s="16" t="n"/>
      <c r="U245" s="16" t="n"/>
      <c r="V245" s="16" t="n"/>
      <c r="W245" s="16" t="n"/>
      <c r="X245" s="16" t="n"/>
      <c r="Y245" s="16" t="n"/>
      <c r="Z245" s="16" t="n"/>
    </row>
    <row r="246" ht="12.75" customHeight="1" s="588">
      <c r="A246" s="503" t="n"/>
      <c r="B246" s="503" t="n"/>
      <c r="C246" s="1" t="n"/>
      <c r="D246" s="1" t="n"/>
      <c r="E246" s="1" t="n"/>
      <c r="F246" s="169" t="n"/>
      <c r="G246" s="1" t="n"/>
      <c r="H246" s="1" t="n"/>
      <c r="I246" s="1" t="n"/>
      <c r="J246" s="1" t="n"/>
      <c r="K246" s="1" t="n"/>
      <c r="L246" s="1" t="n"/>
      <c r="M246" s="1" t="n"/>
      <c r="N246" s="503" t="n"/>
      <c r="O246" s="503" t="n"/>
      <c r="P246" s="1" t="n"/>
      <c r="Q246" s="16" t="n"/>
      <c r="R246" s="16" t="n"/>
      <c r="S246" s="16" t="n"/>
      <c r="T246" s="16" t="n"/>
      <c r="U246" s="16" t="n"/>
      <c r="V246" s="16" t="n"/>
      <c r="W246" s="16" t="n"/>
      <c r="X246" s="16" t="n"/>
      <c r="Y246" s="16" t="n"/>
      <c r="Z246" s="16" t="n"/>
    </row>
    <row r="247" hidden="1" ht="12.75" customHeight="1" s="588">
      <c r="A247" s="1" t="n"/>
      <c r="C247" s="1" t="n">
        <v>0</v>
      </c>
      <c r="D247" s="1" t="n">
        <v>1</v>
      </c>
      <c r="E247" s="1" t="n">
        <v>2</v>
      </c>
      <c r="F247" s="1" t="n">
        <v>3</v>
      </c>
      <c r="G247" s="1" t="n"/>
      <c r="H247" s="1" t="n"/>
      <c r="I247" s="1" t="n"/>
      <c r="J247" s="1" t="n"/>
      <c r="K247" s="1" t="n"/>
      <c r="L247" s="1" t="n"/>
      <c r="M247" s="1" t="n"/>
      <c r="N247" s="1" t="n"/>
      <c r="O247" s="1" t="n"/>
      <c r="P247" s="1" t="n"/>
      <c r="Q247" s="16" t="n"/>
      <c r="R247" s="16" t="n"/>
      <c r="S247" s="16" t="n"/>
      <c r="T247" s="16" t="n"/>
      <c r="U247" s="16" t="n"/>
      <c r="V247" s="16" t="n"/>
      <c r="W247" s="16" t="n"/>
      <c r="X247" s="16" t="n"/>
      <c r="Y247" s="16" t="n"/>
      <c r="Z247" s="16" t="n"/>
    </row>
    <row r="248" ht="12.75" customHeight="1" s="588">
      <c r="A248" s="1" t="n"/>
      <c r="C248" s="456" t="inlineStr">
        <is>
          <t>Mes 1</t>
        </is>
      </c>
      <c r="D248" s="456" t="inlineStr">
        <is>
          <t>Mes 2</t>
        </is>
      </c>
      <c r="E248" s="456" t="inlineStr">
        <is>
          <t>Mes 3</t>
        </is>
      </c>
      <c r="F248" s="456" t="inlineStr">
        <is>
          <t>Mes 4</t>
        </is>
      </c>
      <c r="G248" s="456" t="inlineStr">
        <is>
          <t>Mes 5</t>
        </is>
      </c>
      <c r="H248" s="456" t="inlineStr">
        <is>
          <t>Mes 6</t>
        </is>
      </c>
      <c r="I248" s="456" t="inlineStr">
        <is>
          <t>Mes 7</t>
        </is>
      </c>
      <c r="J248" s="456" t="inlineStr">
        <is>
          <t>Mes 8</t>
        </is>
      </c>
      <c r="K248" s="456" t="inlineStr">
        <is>
          <t>Mes 9</t>
        </is>
      </c>
      <c r="L248" s="456" t="inlineStr">
        <is>
          <t>Mes 10</t>
        </is>
      </c>
      <c r="M248" s="456" t="inlineStr">
        <is>
          <t>Mes 11</t>
        </is>
      </c>
      <c r="N248" s="456" t="inlineStr">
        <is>
          <t>Mes 12</t>
        </is>
      </c>
      <c r="O248" s="309" t="inlineStr">
        <is>
          <t>TOTAL AÑO</t>
        </is>
      </c>
      <c r="P248" s="1" t="n"/>
      <c r="Q248" s="16" t="n"/>
      <c r="R248" s="16" t="n"/>
      <c r="S248" s="16" t="n"/>
      <c r="T248" s="16" t="n"/>
      <c r="U248" s="16" t="n"/>
      <c r="V248" s="16" t="n"/>
      <c r="W248" s="16" t="n"/>
      <c r="X248" s="16" t="n"/>
      <c r="Y248" s="16" t="n"/>
      <c r="Z248" s="16" t="n"/>
    </row>
    <row r="249" ht="12.75" customHeight="1" s="588">
      <c r="A249" s="795" t="inlineStr">
        <is>
          <t>SALDO INICIAL (1)</t>
        </is>
      </c>
      <c r="B249" s="591" t="n"/>
      <c r="C249" s="505">
        <f>D70</f>
        <v/>
      </c>
      <c r="D249" s="485">
        <f>C277</f>
        <v/>
      </c>
      <c r="E249" s="485">
        <f>D277</f>
        <v/>
      </c>
      <c r="F249" s="485">
        <f>E277</f>
        <v/>
      </c>
      <c r="G249" s="485">
        <f>F277</f>
        <v/>
      </c>
      <c r="H249" s="485">
        <f>G277</f>
        <v/>
      </c>
      <c r="I249" s="485">
        <f>H277</f>
        <v/>
      </c>
      <c r="J249" s="485">
        <f>I277</f>
        <v/>
      </c>
      <c r="K249" s="485">
        <f>J277</f>
        <v/>
      </c>
      <c r="L249" s="485">
        <f>K277</f>
        <v/>
      </c>
      <c r="M249" s="485">
        <f>L277</f>
        <v/>
      </c>
      <c r="N249" s="485">
        <f>M277</f>
        <v/>
      </c>
      <c r="O249" s="486">
        <f>C249</f>
        <v/>
      </c>
      <c r="P249" s="1" t="n"/>
      <c r="Q249" s="16" t="n"/>
      <c r="R249" s="16" t="n"/>
      <c r="S249" s="16" t="n"/>
      <c r="T249" s="16" t="n"/>
      <c r="U249" s="16" t="n"/>
      <c r="V249" s="16" t="n"/>
      <c r="W249" s="16" t="n"/>
      <c r="X249" s="16" t="n"/>
      <c r="Y249" s="16" t="n"/>
      <c r="Z249" s="16" t="n"/>
    </row>
    <row r="250" ht="12.75" customHeight="1" s="588">
      <c r="A250" s="503" t="inlineStr">
        <is>
          <t>Cobro de las Ventas</t>
        </is>
      </c>
      <c r="C250" s="506">
        <f>IF(C245=0,C180*(100%+$G$13),0)</f>
        <v/>
      </c>
      <c r="D250" s="506">
        <f t="array" ref="D250">IF(C245&gt;1,0,INDEX(C180:D180,,2-$C$245)*(100%+$G$13))</f>
        <v/>
      </c>
      <c r="E250" s="506">
        <f t="array" ref="E250">IF(C245&gt;2,0,INDEX(C180:E180,,3-$C$245)*(100%+$G$13))</f>
        <v/>
      </c>
      <c r="F250" s="506">
        <f>INDEX(C180:F180,,4-$C$245)*(100%+$G$13)</f>
        <v/>
      </c>
      <c r="G250" s="506">
        <f>INDEX(D180:G180,,4-$C$245)*(100%+$G$13)</f>
        <v/>
      </c>
      <c r="H250" s="506">
        <f>INDEX(E180:H180,,4-$C$245)*(100%+$G$13)</f>
        <v/>
      </c>
      <c r="I250" s="506">
        <f>INDEX(F180:I180,,4-$C$245)*(100%+$G$13)</f>
        <v/>
      </c>
      <c r="J250" s="506">
        <f>INDEX(G180:J180,,4-$C$245)*(100%+$G$13)</f>
        <v/>
      </c>
      <c r="K250" s="506">
        <f>INDEX(H180:K180,,4-$C$245)*(100%+$G$13)</f>
        <v/>
      </c>
      <c r="L250" s="506">
        <f>INDEX(I180:L180,,4-$C$245)*(100%+$G$13)</f>
        <v/>
      </c>
      <c r="M250" s="506">
        <f>INDEX(J180:M180,,4-$C$245)*(100%+$G$13)</f>
        <v/>
      </c>
      <c r="N250" s="506">
        <f>INDEX(K180:N180,,4-$C$245)*(100%+$G$13)</f>
        <v/>
      </c>
      <c r="O250" s="506">
        <f>SUM(C250:N250)</f>
        <v/>
      </c>
      <c r="P250" s="1" t="n"/>
      <c r="Q250" s="16" t="n"/>
      <c r="R250" s="16" t="n"/>
      <c r="S250" s="16" t="n"/>
      <c r="T250" s="16" t="n"/>
      <c r="U250" s="16" t="n"/>
      <c r="V250" s="16" t="n"/>
      <c r="W250" s="16" t="n"/>
      <c r="X250" s="16" t="n"/>
      <c r="Y250" s="16" t="n"/>
      <c r="Z250" s="16" t="n"/>
    </row>
    <row r="251" ht="12.75" customHeight="1" s="588">
      <c r="A251" s="795" t="inlineStr">
        <is>
          <t>TOTAL ENTRADAS (2)</t>
        </is>
      </c>
      <c r="B251" s="591" t="n"/>
      <c r="C251" s="505">
        <f>SUM(C250)</f>
        <v/>
      </c>
      <c r="D251" s="485">
        <f>SUM(D250)</f>
        <v/>
      </c>
      <c r="E251" s="485">
        <f>SUM(E250)</f>
        <v/>
      </c>
      <c r="F251" s="485">
        <f>SUM(F250)</f>
        <v/>
      </c>
      <c r="G251" s="485">
        <f>SUM(G250)</f>
        <v/>
      </c>
      <c r="H251" s="485">
        <f>SUM(H250)</f>
        <v/>
      </c>
      <c r="I251" s="485">
        <f>SUM(I250)</f>
        <v/>
      </c>
      <c r="J251" s="485">
        <f>SUM(J250)</f>
        <v/>
      </c>
      <c r="K251" s="485">
        <f>SUM(K250)</f>
        <v/>
      </c>
      <c r="L251" s="485">
        <f>SUM(L250)</f>
        <v/>
      </c>
      <c r="M251" s="485">
        <f>SUM(M250)</f>
        <v/>
      </c>
      <c r="N251" s="485">
        <f>SUM(N250)</f>
        <v/>
      </c>
      <c r="O251" s="486">
        <f>SUM(C251:N251)</f>
        <v/>
      </c>
      <c r="P251" s="1" t="n"/>
      <c r="Q251" s="16" t="n"/>
      <c r="R251" s="16" t="n"/>
      <c r="S251" s="16" t="n"/>
      <c r="T251" s="16" t="n"/>
      <c r="U251" s="16" t="n"/>
      <c r="V251" s="16" t="n"/>
      <c r="W251" s="16" t="n"/>
      <c r="X251" s="16" t="n"/>
      <c r="Y251" s="16" t="n"/>
      <c r="Z251" s="16" t="n"/>
    </row>
    <row r="252" ht="12.75" customHeight="1" s="588">
      <c r="A252" s="503" t="inlineStr">
        <is>
          <t>Pago de las Compras</t>
        </is>
      </c>
      <c r="C252" s="506">
        <f>IF(P245=0,IF($G$13&gt;0%,-C241*(100%+$G$11),-C241),0)</f>
        <v/>
      </c>
      <c r="D252" s="506">
        <f t="array" ref="D252">IF(P245&gt;1,0,IF($G$13&gt;0%,-INDEX(C241:D241,,2-$P$245)*(100%+$G$11),-INDEX(C241:D241,,2-$P$245)))</f>
        <v/>
      </c>
      <c r="E252" s="506">
        <f t="array" ref="E252">IF(P245&gt;2,0,IF($G$13&gt;0%,-INDEX(C241:E241,,3-$P$245)*(100%+$G$11),-INDEX(C241:E241,,3-$P$245)))</f>
        <v/>
      </c>
      <c r="F252" s="506">
        <f>IF($G$13&gt;0%,-INDEX(C241:F241,,4-$P$245)*(100%+$G$11),-INDEX(C241:F241,,4-$P$245))</f>
        <v/>
      </c>
      <c r="G252" s="506">
        <f>IF($G$13&gt;0%,-INDEX(D241:G241,,4-$P$245)*(100%+$G$11),-INDEX(D241:G241,,4-$P$245))</f>
        <v/>
      </c>
      <c r="H252" s="506">
        <f>IF($G$13&gt;0%,-INDEX(E241:H241,,4-$P$245)*(100%+$G$11),-INDEX(E241:H241,,4-$P$245))</f>
        <v/>
      </c>
      <c r="I252" s="506">
        <f>IF($G$13&gt;0%,-INDEX(F241:I241,,4-$P$245)*(100%+$G$11),-INDEX(F241:I241,,4-$P$245))</f>
        <v/>
      </c>
      <c r="J252" s="506">
        <f>IF($G$13&gt;0%,-INDEX(G241:J241,,4-$P$245)*(100%+$G$11),-INDEX(G241:J241,,4-$P$245))</f>
        <v/>
      </c>
      <c r="K252" s="506">
        <f>IF($G$13&gt;0%,-INDEX(H241:K241,,4-$P$245)*(100%+$G$11),-INDEX(H241:K241,,4-$P$245))</f>
        <v/>
      </c>
      <c r="L252" s="506">
        <f>IF($G$13&gt;0%,-INDEX(I241:L241,,4-$P$245)*(100%+$G$11),-INDEX(I241:L241,,4-$P$245))</f>
        <v/>
      </c>
      <c r="M252" s="506">
        <f>IF($G$13&gt;0%,-INDEX(J241:M241,,4-$P$245)*(100%+$G$11),-INDEX(J241:M241,,4-$P$245))</f>
        <v/>
      </c>
      <c r="N252" s="506">
        <f>IF($G$13&gt;0%,-INDEX(K241:N241,,4-$P$245)*(100%+$G$11),-INDEX(K241:N241,,4-$P$245))</f>
        <v/>
      </c>
      <c r="O252" s="506">
        <f>SUM(C252:N252)</f>
        <v/>
      </c>
      <c r="P252" s="1" t="n"/>
      <c r="Q252" s="16" t="n"/>
      <c r="R252" s="16" t="n"/>
      <c r="S252" s="16" t="n"/>
      <c r="T252" s="16" t="n"/>
      <c r="U252" s="16" t="n"/>
      <c r="V252" s="16" t="n"/>
      <c r="W252" s="16" t="n"/>
      <c r="X252" s="16" t="n"/>
      <c r="Y252" s="16" t="n"/>
      <c r="Z252" s="16" t="n"/>
    </row>
    <row r="253" ht="12.75" customHeight="1" s="588">
      <c r="A253" s="503">
        <f>A183</f>
        <v/>
      </c>
      <c r="C253" s="506">
        <f>IF($D$20&lt;&gt;25%,-C172/12,IF($G$13=0%,-(C174-C175)/12,-(100%+$G$15-C150)*C174/12))</f>
        <v/>
      </c>
      <c r="D253" s="506">
        <f>C253</f>
        <v/>
      </c>
      <c r="E253" s="506">
        <f>D253</f>
        <v/>
      </c>
      <c r="F253" s="506">
        <f>E253</f>
        <v/>
      </c>
      <c r="G253" s="506">
        <f>F253</f>
        <v/>
      </c>
      <c r="H253" s="506">
        <f>G253</f>
        <v/>
      </c>
      <c r="I253" s="506">
        <f>H253</f>
        <v/>
      </c>
      <c r="J253" s="506">
        <f>I253</f>
        <v/>
      </c>
      <c r="K253" s="506">
        <f>J253</f>
        <v/>
      </c>
      <c r="L253" s="506">
        <f>K253</f>
        <v/>
      </c>
      <c r="M253" s="506">
        <f>L253</f>
        <v/>
      </c>
      <c r="N253" s="506">
        <f>M253</f>
        <v/>
      </c>
      <c r="O253" s="506">
        <f>SUM(C253:N253)</f>
        <v/>
      </c>
      <c r="P253" s="1" t="n"/>
      <c r="Q253" s="16" t="n"/>
      <c r="R253" s="16" t="n"/>
      <c r="S253" s="16" t="n"/>
      <c r="T253" s="16" t="n"/>
      <c r="U253" s="16" t="n"/>
      <c r="V253" s="16" t="n"/>
      <c r="W253" s="16" t="n"/>
      <c r="X253" s="16" t="n"/>
      <c r="Y253" s="16" t="n"/>
      <c r="Z253" s="16" t="n"/>
    </row>
    <row r="254" ht="12.75" customHeight="1" s="588">
      <c r="A254" s="503" t="inlineStr">
        <is>
          <t>Nóminas</t>
        </is>
      </c>
      <c r="C254" s="506">
        <f>-N173/12</f>
        <v/>
      </c>
      <c r="D254" s="506">
        <f>C254</f>
        <v/>
      </c>
      <c r="E254" s="506">
        <f>D254</f>
        <v/>
      </c>
      <c r="F254" s="506">
        <f>E254</f>
        <v/>
      </c>
      <c r="G254" s="506">
        <f>F254</f>
        <v/>
      </c>
      <c r="H254" s="506">
        <f>G254</f>
        <v/>
      </c>
      <c r="I254" s="506">
        <f>H254</f>
        <v/>
      </c>
      <c r="J254" s="506">
        <f>I254</f>
        <v/>
      </c>
      <c r="K254" s="506">
        <f>J254</f>
        <v/>
      </c>
      <c r="L254" s="506">
        <f>K254</f>
        <v/>
      </c>
      <c r="M254" s="506">
        <f>L254</f>
        <v/>
      </c>
      <c r="N254" s="506">
        <f>M254</f>
        <v/>
      </c>
      <c r="O254" s="506">
        <f>SUM(C254:N254)</f>
        <v/>
      </c>
      <c r="P254" s="1" t="n"/>
      <c r="Q254" s="16" t="n"/>
      <c r="R254" s="16" t="n"/>
      <c r="S254" s="16" t="n"/>
      <c r="T254" s="16" t="n"/>
      <c r="U254" s="16" t="n"/>
      <c r="V254" s="16" t="n"/>
      <c r="W254" s="16" t="n"/>
      <c r="X254" s="16" t="n"/>
      <c r="Y254" s="16" t="n"/>
      <c r="Z254" s="16" t="n"/>
    </row>
    <row r="255" ht="12.75" customHeight="1" s="588">
      <c r="A255" s="784">
        <f>A185</f>
        <v/>
      </c>
      <c r="C255" s="506">
        <f>C185</f>
        <v/>
      </c>
      <c r="D255" s="506">
        <f>D185</f>
        <v/>
      </c>
      <c r="E255" s="506">
        <f>E185</f>
        <v/>
      </c>
      <c r="F255" s="506">
        <f>F185</f>
        <v/>
      </c>
      <c r="G255" s="506">
        <f>G185</f>
        <v/>
      </c>
      <c r="H255" s="506">
        <f>H185</f>
        <v/>
      </c>
      <c r="I255" s="506">
        <f>I185</f>
        <v/>
      </c>
      <c r="J255" s="506">
        <f>J185</f>
        <v/>
      </c>
      <c r="K255" s="506">
        <f>K185</f>
        <v/>
      </c>
      <c r="L255" s="506">
        <f>L185</f>
        <v/>
      </c>
      <c r="M255" s="506">
        <f>M185</f>
        <v/>
      </c>
      <c r="N255" s="506">
        <f>N185</f>
        <v/>
      </c>
      <c r="O255" s="506">
        <f>SUM(C255:N255)</f>
        <v/>
      </c>
      <c r="P255" s="1" t="n"/>
      <c r="Q255" s="16" t="n"/>
      <c r="R255" s="16" t="n"/>
      <c r="S255" s="16" t="n"/>
      <c r="T255" s="16" t="n"/>
      <c r="U255" s="16" t="n"/>
      <c r="V255" s="16" t="n"/>
      <c r="W255" s="16" t="n"/>
      <c r="X255" s="16" t="n"/>
      <c r="Y255" s="16" t="n"/>
      <c r="Z255" s="16" t="n"/>
    </row>
    <row r="256" ht="12.75" customHeight="1" s="588">
      <c r="A256" s="784">
        <f>A186</f>
        <v/>
      </c>
      <c r="C256" s="506">
        <f>C186</f>
        <v/>
      </c>
      <c r="D256" s="506">
        <f>D186</f>
        <v/>
      </c>
      <c r="E256" s="506">
        <f>E186</f>
        <v/>
      </c>
      <c r="F256" s="506">
        <f>F186</f>
        <v/>
      </c>
      <c r="G256" s="506">
        <f>G186</f>
        <v/>
      </c>
      <c r="H256" s="506">
        <f>H186</f>
        <v/>
      </c>
      <c r="I256" s="506">
        <f>I186</f>
        <v/>
      </c>
      <c r="J256" s="506">
        <f>J186</f>
        <v/>
      </c>
      <c r="K256" s="506">
        <f>K186</f>
        <v/>
      </c>
      <c r="L256" s="506">
        <f>L186</f>
        <v/>
      </c>
      <c r="M256" s="506">
        <f>M186</f>
        <v/>
      </c>
      <c r="N256" s="506">
        <f>N186</f>
        <v/>
      </c>
      <c r="O256" s="506">
        <f>SUM(C256:N256)</f>
        <v/>
      </c>
      <c r="P256" s="1" t="n"/>
      <c r="Q256" s="16" t="n"/>
      <c r="R256" s="16" t="n"/>
      <c r="S256" s="16" t="n"/>
      <c r="T256" s="16" t="n"/>
      <c r="U256" s="16" t="n"/>
      <c r="V256" s="16" t="n"/>
      <c r="W256" s="16" t="n"/>
      <c r="X256" s="16" t="n"/>
      <c r="Y256" s="16" t="n"/>
      <c r="Z256" s="16" t="n"/>
    </row>
    <row r="257" ht="12.75" customHeight="1" s="588">
      <c r="A257" s="784">
        <f>A187</f>
        <v/>
      </c>
      <c r="C257" s="506">
        <f>IF($G$13=0, C187,C187*(100%+$G$15))</f>
        <v/>
      </c>
      <c r="D257" s="506">
        <f>IF($G$13=0, D187,D187*(100%+$G$15))</f>
        <v/>
      </c>
      <c r="E257" s="506">
        <f>IF($G$13=0, E187,E187*(100%+$G$15))</f>
        <v/>
      </c>
      <c r="F257" s="506">
        <f>IF($G$13=0, F187,F187*(100%+$G$15))</f>
        <v/>
      </c>
      <c r="G257" s="506">
        <f>IF($G$13=0, G187,G187*(100%+$G$15))</f>
        <v/>
      </c>
      <c r="H257" s="506">
        <f>IF($G$13=0, H187,H187*(100%+$G$15))</f>
        <v/>
      </c>
      <c r="I257" s="506">
        <f>IF($G$13=0, I187,I187*(100%+$G$15))</f>
        <v/>
      </c>
      <c r="J257" s="506">
        <f>IF($G$13=0, J187,J187*(100%+$G$15))</f>
        <v/>
      </c>
      <c r="K257" s="506">
        <f>IF($G$13=0, K187,K187*(100%+$G$15))</f>
        <v/>
      </c>
      <c r="L257" s="506">
        <f>IF($G$13=0, L187,L187*(100%+$G$15))</f>
        <v/>
      </c>
      <c r="M257" s="506">
        <f>IF($G$13=0, M187,M187*(100%+$G$15))</f>
        <v/>
      </c>
      <c r="N257" s="506">
        <f>IF($G$13=0, N187,N187*(100%+$G$15))</f>
        <v/>
      </c>
      <c r="O257" s="506">
        <f>SUM(C257:N257)</f>
        <v/>
      </c>
      <c r="P257" s="1" t="n"/>
      <c r="Q257" s="16" t="n"/>
      <c r="R257" s="16" t="n"/>
      <c r="S257" s="16" t="n"/>
      <c r="T257" s="16" t="n"/>
      <c r="U257" s="16" t="n"/>
      <c r="V257" s="16" t="n"/>
      <c r="W257" s="16" t="n"/>
      <c r="X257" s="16" t="n"/>
      <c r="Y257" s="16" t="n"/>
      <c r="Z257" s="16" t="n"/>
    </row>
    <row r="258" ht="12.75" customHeight="1" s="588">
      <c r="A258" s="784">
        <f>A188</f>
        <v/>
      </c>
      <c r="C258" s="506">
        <f>IF($G$13=0, C188,C188*(100%+$G$15))</f>
        <v/>
      </c>
      <c r="D258" s="506">
        <f>IF($G$13=0, D188,D188*(100%+$G$15))</f>
        <v/>
      </c>
      <c r="E258" s="506">
        <f>IF($G$13=0, E188,E188*(100%+$G$15))</f>
        <v/>
      </c>
      <c r="F258" s="506">
        <f>IF($G$13=0, F188,F188*(100%+$G$15))</f>
        <v/>
      </c>
      <c r="G258" s="506">
        <f>IF($G$13=0, G188,G188*(100%+$G$15))</f>
        <v/>
      </c>
      <c r="H258" s="506">
        <f>IF($G$13=0, H188,H188*(100%+$G$15))</f>
        <v/>
      </c>
      <c r="I258" s="506">
        <f>IF($G$13=0, I188,I188*(100%+$G$15))</f>
        <v/>
      </c>
      <c r="J258" s="506">
        <f>IF($G$13=0, J188,J188*(100%+$G$15))</f>
        <v/>
      </c>
      <c r="K258" s="506">
        <f>IF($G$13=0, K188,K188*(100%+$G$15))</f>
        <v/>
      </c>
      <c r="L258" s="506">
        <f>IF($G$13=0, L188,L188*(100%+$G$15))</f>
        <v/>
      </c>
      <c r="M258" s="506">
        <f>IF($G$13=0, M188,M188*(100%+$G$15))</f>
        <v/>
      </c>
      <c r="N258" s="506">
        <f>IF($G$13=0, N188,N188*(100%+$G$15))</f>
        <v/>
      </c>
      <c r="O258" s="506">
        <f>SUM(C258:N258)</f>
        <v/>
      </c>
      <c r="P258" s="1" t="n"/>
      <c r="Q258" s="16" t="n"/>
      <c r="R258" s="16" t="n"/>
      <c r="S258" s="16" t="n"/>
      <c r="T258" s="16" t="n"/>
      <c r="U258" s="16" t="n"/>
      <c r="V258" s="16" t="n"/>
      <c r="W258" s="16" t="n"/>
      <c r="X258" s="16" t="n"/>
      <c r="Y258" s="16" t="n"/>
      <c r="Z258" s="16" t="n"/>
    </row>
    <row r="259" ht="12.75" customHeight="1" s="588">
      <c r="A259" s="784">
        <f>A189</f>
        <v/>
      </c>
      <c r="C259" s="506">
        <f>IF($G$13=0, C189,C189*(100%+$G$15))</f>
        <v/>
      </c>
      <c r="D259" s="506">
        <f>IF($G$13=0, D189,D189*(100%+$G$15))</f>
        <v/>
      </c>
      <c r="E259" s="506">
        <f>IF($G$13=0, E189,E189*(100%+$G$15))</f>
        <v/>
      </c>
      <c r="F259" s="506">
        <f>IF($G$13=0, F189,F189*(100%+$G$15))</f>
        <v/>
      </c>
      <c r="G259" s="506">
        <f>IF($G$13=0, G189,G189*(100%+$G$15))</f>
        <v/>
      </c>
      <c r="H259" s="506">
        <f>IF($G$13=0, H189,H189*(100%+$G$15))</f>
        <v/>
      </c>
      <c r="I259" s="506">
        <f>IF($G$13=0, I189,I189*(100%+$G$15))</f>
        <v/>
      </c>
      <c r="J259" s="506">
        <f>IF($G$13=0, J189,J189*(100%+$G$15))</f>
        <v/>
      </c>
      <c r="K259" s="506">
        <f>IF($G$13=0, K189,K189*(100%+$G$15))</f>
        <v/>
      </c>
      <c r="L259" s="506">
        <f>IF($G$13=0, L189,L189*(100%+$G$15))</f>
        <v/>
      </c>
      <c r="M259" s="506">
        <f>IF($G$13=0, M189,M189*(100%+$G$15))</f>
        <v/>
      </c>
      <c r="N259" s="506">
        <f>IF($G$13=0, N189,N189*(100%+$G$15))</f>
        <v/>
      </c>
      <c r="O259" s="506">
        <f>SUM(C259:N259)</f>
        <v/>
      </c>
      <c r="P259" s="1" t="n"/>
      <c r="Q259" s="16" t="n"/>
      <c r="R259" s="16" t="n"/>
      <c r="S259" s="16" t="n"/>
      <c r="T259" s="16" t="n"/>
      <c r="U259" s="16" t="n"/>
      <c r="V259" s="16" t="n"/>
      <c r="W259" s="16" t="n"/>
      <c r="X259" s="16" t="n"/>
      <c r="Y259" s="16" t="n"/>
      <c r="Z259" s="16" t="n"/>
    </row>
    <row r="260" ht="12.75" customHeight="1" s="588">
      <c r="A260" s="784">
        <f>A190</f>
        <v/>
      </c>
      <c r="C260" s="506">
        <f>IF($G$13=0, C190,C190*(100%+$G$15))</f>
        <v/>
      </c>
      <c r="D260" s="506">
        <f>IF($G$13=0, D190,D190*(100%+$G$15))</f>
        <v/>
      </c>
      <c r="E260" s="506">
        <f>IF($G$13=0, E190,E190*(100%+$G$15))</f>
        <v/>
      </c>
      <c r="F260" s="506">
        <f>IF($G$13=0, F190,F190*(100%+$G$15))</f>
        <v/>
      </c>
      <c r="G260" s="506">
        <f>IF($G$13=0, G190,G190*(100%+$G$15))</f>
        <v/>
      </c>
      <c r="H260" s="506">
        <f>IF($G$13=0, H190,H190*(100%+$G$15))</f>
        <v/>
      </c>
      <c r="I260" s="506">
        <f>IF($G$13=0, I190,I190*(100%+$G$15))</f>
        <v/>
      </c>
      <c r="J260" s="506">
        <f>IF($G$13=0, J190,J190*(100%+$G$15))</f>
        <v/>
      </c>
      <c r="K260" s="506">
        <f>IF($G$13=0, K190,K190*(100%+$G$15))</f>
        <v/>
      </c>
      <c r="L260" s="506">
        <f>IF($G$13=0, L190,L190*(100%+$G$15))</f>
        <v/>
      </c>
      <c r="M260" s="506">
        <f>IF($G$13=0, M190,M190*(100%+$G$15))</f>
        <v/>
      </c>
      <c r="N260" s="506">
        <f>IF($G$13=0, N190,N190*(100%+$G$15))</f>
        <v/>
      </c>
      <c r="O260" s="506">
        <f>SUM(C260:N260)</f>
        <v/>
      </c>
      <c r="P260" s="1" t="n"/>
      <c r="Q260" s="16" t="n"/>
      <c r="R260" s="16" t="n"/>
      <c r="S260" s="16" t="n"/>
      <c r="T260" s="16" t="n"/>
      <c r="U260" s="16" t="n"/>
      <c r="V260" s="16" t="n"/>
      <c r="W260" s="16" t="n"/>
      <c r="X260" s="16" t="n"/>
      <c r="Y260" s="16" t="n"/>
      <c r="Z260" s="16" t="n"/>
    </row>
    <row r="261" ht="12.75" customHeight="1" s="588">
      <c r="A261" s="784">
        <f>A191</f>
        <v/>
      </c>
      <c r="C261" s="506">
        <f>IF($G$13=0, C191,C191*(100%+$G$15))</f>
        <v/>
      </c>
      <c r="D261" s="506">
        <f>IF($G$13=0, D191,D191*(100%+$G$15))</f>
        <v/>
      </c>
      <c r="E261" s="506">
        <f>IF($G$13=0, E191,E191*(100%+$G$15))</f>
        <v/>
      </c>
      <c r="F261" s="506">
        <f>IF($G$13=0, F191,F191*(100%+$G$15))</f>
        <v/>
      </c>
      <c r="G261" s="506">
        <f>IF($G$13=0, G191,G191*(100%+$G$15))</f>
        <v/>
      </c>
      <c r="H261" s="506">
        <f>IF($G$13=0, H191,H191*(100%+$G$15))</f>
        <v/>
      </c>
      <c r="I261" s="506">
        <f>IF($G$13=0, I191,I191*(100%+$G$15))</f>
        <v/>
      </c>
      <c r="J261" s="506">
        <f>IF($G$13=0, J191,J191*(100%+$G$15))</f>
        <v/>
      </c>
      <c r="K261" s="506">
        <f>IF($G$13=0, K191,K191*(100%+$G$15))</f>
        <v/>
      </c>
      <c r="L261" s="506">
        <f>IF($G$13=0, L191,L191*(100%+$G$15))</f>
        <v/>
      </c>
      <c r="M261" s="506">
        <f>IF($G$13=0, M191,M191*(100%+$G$15))</f>
        <v/>
      </c>
      <c r="N261" s="506">
        <f>IF($G$13=0, N191,N191*(100%+$G$15))</f>
        <v/>
      </c>
      <c r="O261" s="506">
        <f>SUM(C261:N261)</f>
        <v/>
      </c>
      <c r="P261" s="1" t="n"/>
      <c r="Q261" s="16" t="n"/>
      <c r="R261" s="16" t="n"/>
      <c r="S261" s="16" t="n"/>
      <c r="T261" s="16" t="n"/>
      <c r="U261" s="16" t="n"/>
      <c r="V261" s="16" t="n"/>
      <c r="W261" s="16" t="n"/>
      <c r="X261" s="16" t="n"/>
      <c r="Y261" s="16" t="n"/>
      <c r="Z261" s="16" t="n"/>
    </row>
    <row r="262" ht="12.75" customHeight="1" s="588">
      <c r="A262" s="784">
        <f>A192</f>
        <v/>
      </c>
      <c r="C262" s="506">
        <f>IF($G$13=0, C192,C192*(100%+$G$15))</f>
        <v/>
      </c>
      <c r="D262" s="506">
        <f>IF($G$13=0, D192,D192*(100%+$G$15))</f>
        <v/>
      </c>
      <c r="E262" s="506">
        <f>IF($G$13=0, E192,E192*(100%+$G$15))</f>
        <v/>
      </c>
      <c r="F262" s="506">
        <f>IF($G$13=0, F192,F192*(100%+$G$15))</f>
        <v/>
      </c>
      <c r="G262" s="506">
        <f>IF($G$13=0, G192,G192*(100%+$G$15))</f>
        <v/>
      </c>
      <c r="H262" s="506">
        <f>IF($G$13=0, H192,H192*(100%+$G$15))</f>
        <v/>
      </c>
      <c r="I262" s="506">
        <f>IF($G$13=0, I192,I192*(100%+$G$15))</f>
        <v/>
      </c>
      <c r="J262" s="506">
        <f>IF($G$13=0, J192,J192*(100%+$G$15))</f>
        <v/>
      </c>
      <c r="K262" s="506">
        <f>IF($G$13=0, K192,K192*(100%+$G$15))</f>
        <v/>
      </c>
      <c r="L262" s="506">
        <f>IF($G$13=0, L192,L192*(100%+$G$15))</f>
        <v/>
      </c>
      <c r="M262" s="506">
        <f>IF($G$13=0, M192,M192*(100%+$G$15))</f>
        <v/>
      </c>
      <c r="N262" s="506">
        <f>IF($G$13=0, N192,N192*(100%+$G$15))</f>
        <v/>
      </c>
      <c r="O262" s="506">
        <f>SUM(C262:N262)</f>
        <v/>
      </c>
      <c r="P262" s="1" t="n"/>
      <c r="Q262" s="16" t="n"/>
      <c r="R262" s="16" t="n"/>
      <c r="S262" s="16" t="n"/>
      <c r="T262" s="16" t="n"/>
      <c r="U262" s="16" t="n"/>
      <c r="V262" s="16" t="n"/>
      <c r="W262" s="16" t="n"/>
      <c r="X262" s="16" t="n"/>
      <c r="Y262" s="16" t="n"/>
      <c r="Z262" s="16" t="n"/>
    </row>
    <row r="263" ht="12.75" customHeight="1" s="588">
      <c r="A263" s="784">
        <f>A193</f>
        <v/>
      </c>
      <c r="C263" s="506">
        <f>IF($G$13=0, C193,C193*(100%+$G$15))</f>
        <v/>
      </c>
      <c r="D263" s="506">
        <f>IF($G$13=0, D193,D193*(100%+$G$15))</f>
        <v/>
      </c>
      <c r="E263" s="506">
        <f>IF($G$13=0, E193,E193*(100%+$G$15))</f>
        <v/>
      </c>
      <c r="F263" s="506">
        <f>IF($G$13=0, F193,F193*(100%+$G$15))</f>
        <v/>
      </c>
      <c r="G263" s="506">
        <f>IF($G$13=0, G193,G193*(100%+$G$15))</f>
        <v/>
      </c>
      <c r="H263" s="506">
        <f>IF($G$13=0, H193,H193*(100%+$G$15))</f>
        <v/>
      </c>
      <c r="I263" s="506">
        <f>IF($G$13=0, I193,I193*(100%+$G$15))</f>
        <v/>
      </c>
      <c r="J263" s="506">
        <f>IF($G$13=0, J193,J193*(100%+$G$15))</f>
        <v/>
      </c>
      <c r="K263" s="506">
        <f>IF($G$13=0, K193,K193*(100%+$G$15))</f>
        <v/>
      </c>
      <c r="L263" s="506">
        <f>IF($G$13=0, L193,L193*(100%+$G$15))</f>
        <v/>
      </c>
      <c r="M263" s="506">
        <f>IF($G$13=0, M193,M193*(100%+$G$15))</f>
        <v/>
      </c>
      <c r="N263" s="506">
        <f>IF($G$13=0, N193,N193*(100%+$G$15))</f>
        <v/>
      </c>
      <c r="O263" s="506">
        <f>SUM(C263:N263)</f>
        <v/>
      </c>
      <c r="P263" s="1" t="n"/>
      <c r="Q263" s="16" t="n"/>
      <c r="R263" s="16" t="n"/>
      <c r="S263" s="16" t="n"/>
      <c r="T263" s="16" t="n"/>
      <c r="U263" s="16" t="n"/>
      <c r="V263" s="16" t="n"/>
      <c r="W263" s="16" t="n"/>
      <c r="X263" s="16" t="n"/>
      <c r="Y263" s="16" t="n"/>
      <c r="Z263" s="16" t="n"/>
    </row>
    <row r="264" ht="12.75" customHeight="1" s="588">
      <c r="A264" s="784">
        <f>A194</f>
        <v/>
      </c>
      <c r="C264" s="506">
        <f>IF($G$13=0, C194,C194*(100%+$G$15))</f>
        <v/>
      </c>
      <c r="D264" s="506">
        <f>IF($G$13=0, D194,D194*(100%+$G$15))</f>
        <v/>
      </c>
      <c r="E264" s="506">
        <f>IF($G$13=0, E194,E194*(100%+$G$15))</f>
        <v/>
      </c>
      <c r="F264" s="506">
        <f>IF($G$13=0, F194,F194*(100%+$G$15))</f>
        <v/>
      </c>
      <c r="G264" s="506">
        <f>IF($G$13=0, G194,G194*(100%+$G$15))</f>
        <v/>
      </c>
      <c r="H264" s="506">
        <f>IF($G$13=0, H194,H194*(100%+$G$15))</f>
        <v/>
      </c>
      <c r="I264" s="506">
        <f>IF($G$13=0, I194,I194*(100%+$G$15))</f>
        <v/>
      </c>
      <c r="J264" s="506">
        <f>IF($G$13=0, J194,J194*(100%+$G$15))</f>
        <v/>
      </c>
      <c r="K264" s="506">
        <f>IF($G$13=0, K194,K194*(100%+$G$15))</f>
        <v/>
      </c>
      <c r="L264" s="506">
        <f>IF($G$13=0, L194,L194*(100%+$G$15))</f>
        <v/>
      </c>
      <c r="M264" s="506">
        <f>IF($G$13=0, M194,M194*(100%+$G$15))</f>
        <v/>
      </c>
      <c r="N264" s="506">
        <f>IF($G$13=0, N194,N194*(100%+$G$15))</f>
        <v/>
      </c>
      <c r="O264" s="506">
        <f>SUM(C264:N264)</f>
        <v/>
      </c>
      <c r="P264" s="1" t="n"/>
      <c r="Q264" s="16" t="n"/>
      <c r="R264" s="16" t="n"/>
      <c r="S264" s="16" t="n"/>
      <c r="T264" s="16" t="n"/>
      <c r="U264" s="16" t="n"/>
      <c r="V264" s="16" t="n"/>
      <c r="W264" s="16" t="n"/>
      <c r="X264" s="16" t="n"/>
      <c r="Y264" s="16" t="n"/>
      <c r="Z264" s="16" t="n"/>
    </row>
    <row r="265" ht="12.75" customHeight="1" s="588">
      <c r="A265" s="784">
        <f>A199</f>
        <v/>
      </c>
      <c r="C265" s="506">
        <f>C199</f>
        <v/>
      </c>
      <c r="D265" s="506">
        <f>D199</f>
        <v/>
      </c>
      <c r="E265" s="506">
        <f>E199</f>
        <v/>
      </c>
      <c r="F265" s="506">
        <f>F199</f>
        <v/>
      </c>
      <c r="G265" s="506">
        <f>G199</f>
        <v/>
      </c>
      <c r="H265" s="506">
        <f>H199</f>
        <v/>
      </c>
      <c r="I265" s="506">
        <f>I199</f>
        <v/>
      </c>
      <c r="J265" s="506">
        <f>J199</f>
        <v/>
      </c>
      <c r="K265" s="506">
        <f>K199</f>
        <v/>
      </c>
      <c r="L265" s="506">
        <f>L199</f>
        <v/>
      </c>
      <c r="M265" s="506">
        <f>M199</f>
        <v/>
      </c>
      <c r="N265" s="506">
        <f>N199</f>
        <v/>
      </c>
      <c r="O265" s="506">
        <f>SUM(C265:N265)</f>
        <v/>
      </c>
      <c r="P265" s="1" t="n"/>
      <c r="Q265" s="16" t="n"/>
      <c r="R265" s="16" t="n"/>
      <c r="S265" s="16" t="n"/>
      <c r="T265" s="16" t="n"/>
      <c r="U265" s="16" t="n"/>
      <c r="V265" s="16" t="n"/>
      <c r="W265" s="16" t="n"/>
      <c r="X265" s="16" t="n"/>
      <c r="Y265" s="16" t="n"/>
      <c r="Z265" s="16" t="n"/>
    </row>
    <row r="266" ht="12.75" customHeight="1" s="588">
      <c r="A266" s="784">
        <f>A200</f>
        <v/>
      </c>
      <c r="C266" s="506">
        <f>C200</f>
        <v/>
      </c>
      <c r="D266" s="506">
        <f>D200</f>
        <v/>
      </c>
      <c r="E266" s="506">
        <f>E200</f>
        <v/>
      </c>
      <c r="F266" s="506">
        <f>F200</f>
        <v/>
      </c>
      <c r="G266" s="506">
        <f>G200</f>
        <v/>
      </c>
      <c r="H266" s="506">
        <f>H200</f>
        <v/>
      </c>
      <c r="I266" s="506">
        <f>I200</f>
        <v/>
      </c>
      <c r="J266" s="506">
        <f>J200</f>
        <v/>
      </c>
      <c r="K266" s="506">
        <f>K200</f>
        <v/>
      </c>
      <c r="L266" s="506">
        <f>L200</f>
        <v/>
      </c>
      <c r="M266" s="506">
        <f>M200</f>
        <v/>
      </c>
      <c r="N266" s="506">
        <f>N200</f>
        <v/>
      </c>
      <c r="O266" s="506">
        <f>SUM(C266:N266)</f>
        <v/>
      </c>
      <c r="P266" s="1" t="n"/>
      <c r="Q266" s="16" t="n"/>
      <c r="R266" s="16" t="n"/>
      <c r="S266" s="16" t="n"/>
      <c r="T266" s="16" t="n"/>
      <c r="U266" s="16" t="n"/>
      <c r="V266" s="16" t="n"/>
      <c r="W266" s="16" t="n"/>
      <c r="X266" s="16" t="n"/>
      <c r="Y266" s="16" t="n"/>
      <c r="Z266" s="16" t="n"/>
    </row>
    <row r="267" ht="12.75" customHeight="1" s="588">
      <c r="A267" s="784">
        <f>A201</f>
        <v/>
      </c>
      <c r="C267" s="506">
        <f>C201</f>
        <v/>
      </c>
      <c r="D267" s="506">
        <f>D201</f>
        <v/>
      </c>
      <c r="E267" s="506">
        <f>E201</f>
        <v/>
      </c>
      <c r="F267" s="506">
        <f>F201</f>
        <v/>
      </c>
      <c r="G267" s="506">
        <f>G201</f>
        <v/>
      </c>
      <c r="H267" s="506">
        <f>H201</f>
        <v/>
      </c>
      <c r="I267" s="506">
        <f>I201</f>
        <v/>
      </c>
      <c r="J267" s="506">
        <f>J201</f>
        <v/>
      </c>
      <c r="K267" s="506">
        <f>K201</f>
        <v/>
      </c>
      <c r="L267" s="506">
        <f>L201</f>
        <v/>
      </c>
      <c r="M267" s="506">
        <f>M201</f>
        <v/>
      </c>
      <c r="N267" s="506">
        <f>N201</f>
        <v/>
      </c>
      <c r="O267" s="506">
        <f>SUM(C267:N267)</f>
        <v/>
      </c>
      <c r="P267" s="1" t="n"/>
      <c r="Q267" s="16" t="n"/>
      <c r="R267" s="16" t="n"/>
      <c r="S267" s="16" t="n"/>
      <c r="T267" s="16" t="n"/>
      <c r="U267" s="16" t="n"/>
      <c r="V267" s="16" t="n"/>
      <c r="W267" s="16" t="n"/>
      <c r="X267" s="16" t="n"/>
      <c r="Y267" s="16" t="n"/>
      <c r="Z267" s="16" t="n"/>
    </row>
    <row r="268" ht="12.75" customHeight="1" s="588">
      <c r="A268" s="784" t="inlineStr">
        <is>
          <t>Result. Extraordinarios</t>
        </is>
      </c>
      <c r="C268" s="506">
        <f>C202</f>
        <v/>
      </c>
      <c r="D268" s="506">
        <f>D202</f>
        <v/>
      </c>
      <c r="E268" s="506">
        <f>E202</f>
        <v/>
      </c>
      <c r="F268" s="506">
        <f>F202</f>
        <v/>
      </c>
      <c r="G268" s="506">
        <f>G202</f>
        <v/>
      </c>
      <c r="H268" s="506">
        <f>H202</f>
        <v/>
      </c>
      <c r="I268" s="506">
        <f>I202</f>
        <v/>
      </c>
      <c r="J268" s="506">
        <f>J202</f>
        <v/>
      </c>
      <c r="K268" s="506">
        <f>K202</f>
        <v/>
      </c>
      <c r="L268" s="506">
        <f>L202</f>
        <v/>
      </c>
      <c r="M268" s="506">
        <f>M202</f>
        <v/>
      </c>
      <c r="N268" s="506">
        <f>N202</f>
        <v/>
      </c>
      <c r="O268" s="506">
        <f>SUM(C268:N268)</f>
        <v/>
      </c>
      <c r="P268" s="1" t="n"/>
      <c r="Q268" s="16" t="n"/>
      <c r="R268" s="16" t="n"/>
      <c r="S268" s="16" t="n"/>
      <c r="T268" s="16" t="n"/>
      <c r="U268" s="16" t="n"/>
      <c r="V268" s="16" t="n"/>
      <c r="W268" s="16" t="n"/>
      <c r="X268" s="16" t="n"/>
      <c r="Y268" s="16" t="n"/>
      <c r="Z268" s="16" t="n"/>
    </row>
    <row r="269" ht="12.75" customHeight="1" s="588">
      <c r="A269" s="784" t="inlineStr">
        <is>
          <t>Dev. Capital Préstamos</t>
        </is>
      </c>
      <c r="C269" s="506">
        <f>-D87</f>
        <v/>
      </c>
      <c r="D269" s="506">
        <f>-E87</f>
        <v/>
      </c>
      <c r="E269" s="506">
        <f>-F87</f>
        <v/>
      </c>
      <c r="F269" s="506">
        <f>-G87</f>
        <v/>
      </c>
      <c r="G269" s="506">
        <f>-H87</f>
        <v/>
      </c>
      <c r="H269" s="506">
        <f>-I87</f>
        <v/>
      </c>
      <c r="I269" s="506">
        <f>-J87</f>
        <v/>
      </c>
      <c r="J269" s="506">
        <f>-K87</f>
        <v/>
      </c>
      <c r="K269" s="506">
        <f>-L87</f>
        <v/>
      </c>
      <c r="L269" s="506">
        <f>-M87</f>
        <v/>
      </c>
      <c r="M269" s="506">
        <f>-N87</f>
        <v/>
      </c>
      <c r="N269" s="506">
        <f>-O87</f>
        <v/>
      </c>
      <c r="O269" s="506">
        <f>SUM(C269:N269)</f>
        <v/>
      </c>
      <c r="P269" s="1" t="n"/>
      <c r="Q269" s="16" t="n"/>
      <c r="R269" s="16" t="n"/>
      <c r="S269" s="16" t="n"/>
      <c r="T269" s="16" t="n"/>
      <c r="U269" s="16" t="n"/>
      <c r="V269" s="16" t="n"/>
      <c r="W269" s="16" t="n"/>
      <c r="X269" s="16" t="n"/>
      <c r="Y269" s="16" t="n"/>
      <c r="Z269" s="16" t="n"/>
    </row>
    <row r="270" ht="12.75" customHeight="1" s="588">
      <c r="A270" s="784" t="inlineStr">
        <is>
          <t>Otros Pagos por Inv.</t>
        </is>
      </c>
      <c r="C270" s="507" t="n"/>
      <c r="D270" s="507" t="n"/>
      <c r="E270" s="507" t="n"/>
      <c r="F270" s="507" t="n"/>
      <c r="G270" s="507" t="n"/>
      <c r="H270" s="507" t="n"/>
      <c r="I270" s="507" t="n"/>
      <c r="J270" s="507" t="n"/>
      <c r="K270" s="507" t="n"/>
      <c r="L270" s="507" t="n"/>
      <c r="M270" s="507" t="n"/>
      <c r="N270" s="507">
        <f>-N48</f>
        <v/>
      </c>
      <c r="O270" s="506">
        <f>SUM(C270:N270)</f>
        <v/>
      </c>
      <c r="P270" s="1" t="n"/>
      <c r="Q270" s="16" t="n"/>
      <c r="R270" s="16" t="n"/>
      <c r="S270" s="16" t="n"/>
      <c r="T270" s="16" t="n"/>
      <c r="U270" s="16" t="n"/>
      <c r="V270" s="16" t="n"/>
      <c r="W270" s="16" t="n"/>
      <c r="X270" s="16" t="n"/>
      <c r="Y270" s="16" t="n"/>
      <c r="Z270" s="16" t="n"/>
    </row>
    <row r="271" ht="12.75" customHeight="1" s="588">
      <c r="A271" s="795" t="inlineStr">
        <is>
          <t>TOTAL SALIDAS (3)</t>
        </is>
      </c>
      <c r="B271" s="591" t="n"/>
      <c r="C271" s="470">
        <f>SUM(C252:C270)</f>
        <v/>
      </c>
      <c r="D271" s="471">
        <f>SUM(D252:D270)</f>
        <v/>
      </c>
      <c r="E271" s="471">
        <f>SUM(E252:E270)</f>
        <v/>
      </c>
      <c r="F271" s="471">
        <f>SUM(F252:F270)</f>
        <v/>
      </c>
      <c r="G271" s="471">
        <f>SUM(G252:G270)</f>
        <v/>
      </c>
      <c r="H271" s="471">
        <f>SUM(H252:H270)</f>
        <v/>
      </c>
      <c r="I271" s="471">
        <f>SUM(I252:I270)</f>
        <v/>
      </c>
      <c r="J271" s="471">
        <f>SUM(J252:J270)</f>
        <v/>
      </c>
      <c r="K271" s="471">
        <f>SUM(K252:K270)</f>
        <v/>
      </c>
      <c r="L271" s="471">
        <f>SUM(L252:L270)</f>
        <v/>
      </c>
      <c r="M271" s="471">
        <f>SUM(M252:M270)</f>
        <v/>
      </c>
      <c r="N271" s="471">
        <f>SUM(N252:N270)</f>
        <v/>
      </c>
      <c r="O271" s="486">
        <f>SUM(C271:N271)</f>
        <v/>
      </c>
      <c r="P271" s="1" t="n"/>
      <c r="Q271" s="16" t="n"/>
      <c r="R271" s="16" t="n"/>
      <c r="S271" s="16" t="n"/>
      <c r="T271" s="16" t="n"/>
      <c r="U271" s="16" t="n"/>
      <c r="V271" s="16" t="n"/>
      <c r="W271" s="16" t="n"/>
      <c r="X271" s="16" t="n"/>
      <c r="Y271" s="16" t="n"/>
      <c r="Z271" s="16" t="n"/>
    </row>
    <row r="272" ht="12.75" customHeight="1" s="588">
      <c r="A272" s="503" t="inlineStr">
        <is>
          <t>Impuesto s/Beneficios</t>
        </is>
      </c>
      <c r="C272" s="506">
        <f>IF($D$20=15%,-C216,0)</f>
        <v/>
      </c>
      <c r="D272" s="506">
        <f>IF($D$20=15%,-D216,0)</f>
        <v/>
      </c>
      <c r="E272" s="506">
        <f>IF($D$20=15%,-E216,0)</f>
        <v/>
      </c>
      <c r="F272" s="506">
        <f>IF($D$20=15%,-F216,IF($D$20=25%,0,-E216))</f>
        <v/>
      </c>
      <c r="G272" s="506">
        <f>IF($D$20=15%,-G216,0)</f>
        <v/>
      </c>
      <c r="H272" s="506">
        <f>IF($D$20=15%,-H216,0)</f>
        <v/>
      </c>
      <c r="I272" s="506">
        <f>IF($D$20=15%,-I216,IF($D$20=25%,0,-H216))</f>
        <v/>
      </c>
      <c r="J272" s="506">
        <f>IF($D$20=15%,-J216,0)</f>
        <v/>
      </c>
      <c r="K272" s="506">
        <f>IF($D$20=15%,-K216,0)</f>
        <v/>
      </c>
      <c r="L272" s="506">
        <f>IF($D$20=15%,-L216,IF($D$20=25%,0,-K216))</f>
        <v/>
      </c>
      <c r="M272" s="506">
        <f>IF($D$20=15%,-M216,0)</f>
        <v/>
      </c>
      <c r="N272" s="506">
        <f>IF($D$20=15%,-N216,0)</f>
        <v/>
      </c>
      <c r="O272" s="506">
        <f>SUM(C272:N272)</f>
        <v/>
      </c>
      <c r="P272" s="1" t="n"/>
      <c r="Q272" s="16" t="n"/>
      <c r="R272" s="16" t="n"/>
      <c r="S272" s="16" t="n"/>
      <c r="T272" s="16" t="n"/>
      <c r="U272" s="16" t="n"/>
      <c r="V272" s="16" t="n"/>
      <c r="W272" s="16" t="n"/>
      <c r="X272" s="16" t="n"/>
      <c r="Y272" s="16" t="n"/>
      <c r="Z272" s="16" t="n"/>
    </row>
    <row r="273" ht="12.75" customHeight="1" s="588">
      <c r="A273" s="503" t="inlineStr">
        <is>
          <t>Seguridad Social</t>
        </is>
      </c>
      <c r="C273" s="506">
        <f>IF(C150="n/a",-(C148+C154+C160+C166)/12,0)</f>
        <v/>
      </c>
      <c r="D273" s="506">
        <f>-C220</f>
        <v/>
      </c>
      <c r="E273" s="506">
        <f>-D220</f>
        <v/>
      </c>
      <c r="F273" s="506">
        <f>-E220</f>
        <v/>
      </c>
      <c r="G273" s="506">
        <f>-F220</f>
        <v/>
      </c>
      <c r="H273" s="506">
        <f>-G220</f>
        <v/>
      </c>
      <c r="I273" s="506">
        <f>-H220</f>
        <v/>
      </c>
      <c r="J273" s="506">
        <f>-I220</f>
        <v/>
      </c>
      <c r="K273" s="506">
        <f>-J220</f>
        <v/>
      </c>
      <c r="L273" s="506">
        <f>-K220</f>
        <v/>
      </c>
      <c r="M273" s="506">
        <f>-L220</f>
        <v/>
      </c>
      <c r="N273" s="506">
        <f>-M220</f>
        <v/>
      </c>
      <c r="O273" s="506">
        <f>SUM(C273:N273)</f>
        <v/>
      </c>
      <c r="P273" s="1" t="n"/>
      <c r="Q273" s="16" t="n"/>
      <c r="R273" s="16" t="n"/>
      <c r="S273" s="16" t="n"/>
      <c r="T273" s="16" t="n"/>
      <c r="U273" s="16" t="n"/>
      <c r="V273" s="16" t="n"/>
      <c r="W273" s="16" t="n"/>
      <c r="X273" s="16" t="n"/>
      <c r="Y273" s="16" t="n"/>
      <c r="Z273" s="16" t="n"/>
    </row>
    <row r="274" ht="12.75" customHeight="1" s="588">
      <c r="A274" s="503" t="inlineStr">
        <is>
          <t>Retenciones IRPF</t>
        </is>
      </c>
      <c r="C274" s="506" t="n"/>
      <c r="D274" s="506" t="n"/>
      <c r="E274" s="506" t="n"/>
      <c r="F274" s="506">
        <f>-E225</f>
        <v/>
      </c>
      <c r="G274" s="506" t="n"/>
      <c r="H274" s="506" t="n"/>
      <c r="I274" s="506">
        <f>-H225</f>
        <v/>
      </c>
      <c r="J274" s="506" t="n"/>
      <c r="K274" s="506" t="n"/>
      <c r="L274" s="506">
        <f>-K225</f>
        <v/>
      </c>
      <c r="M274" s="506" t="n"/>
      <c r="N274" s="506" t="n"/>
      <c r="O274" s="506">
        <f>SUM(C274:N274)</f>
        <v/>
      </c>
      <c r="P274" s="1" t="n"/>
      <c r="Q274" s="16" t="n"/>
      <c r="R274" s="16" t="n"/>
      <c r="S274" s="16" t="n"/>
      <c r="T274" s="16" t="n"/>
      <c r="U274" s="16" t="n"/>
      <c r="V274" s="16" t="n"/>
      <c r="W274" s="16" t="n"/>
      <c r="X274" s="16" t="n"/>
      <c r="Y274" s="16" t="n"/>
      <c r="Z274" s="16" t="n"/>
    </row>
    <row r="275" ht="12.75" customHeight="1" s="588">
      <c r="A275" s="503" t="inlineStr">
        <is>
          <t>Liquidaciones IVA</t>
        </is>
      </c>
      <c r="C275" s="508" t="n"/>
      <c r="D275" s="508" t="n"/>
      <c r="E275" s="508" t="n"/>
      <c r="F275" s="506">
        <f>-E233</f>
        <v/>
      </c>
      <c r="G275" s="508" t="n"/>
      <c r="H275" s="508" t="n"/>
      <c r="I275" s="506">
        <f>-H233</f>
        <v/>
      </c>
      <c r="J275" s="508" t="n"/>
      <c r="K275" s="508" t="n"/>
      <c r="L275" s="506">
        <f>-K233</f>
        <v/>
      </c>
      <c r="M275" s="508" t="n"/>
      <c r="N275" s="508" t="n"/>
      <c r="O275" s="506">
        <f>SUM(C275:N275)</f>
        <v/>
      </c>
      <c r="P275" s="1" t="n"/>
      <c r="Q275" s="16" t="n"/>
      <c r="R275" s="16" t="n"/>
      <c r="S275" s="16" t="n"/>
      <c r="T275" s="16" t="n"/>
      <c r="U275" s="16" t="n"/>
      <c r="V275" s="16" t="n"/>
      <c r="W275" s="16" t="n"/>
      <c r="X275" s="16" t="n"/>
      <c r="Y275" s="16" t="n"/>
      <c r="Z275" s="16" t="n"/>
    </row>
    <row r="276" ht="12.75" customHeight="1" s="588">
      <c r="A276" s="795" t="inlineStr">
        <is>
          <t>TOTAL AA.PP. (4)</t>
        </is>
      </c>
      <c r="B276" s="591" t="n"/>
      <c r="C276" s="505">
        <f>SUM(C272:C275)</f>
        <v/>
      </c>
      <c r="D276" s="485">
        <f>SUM(D272:D275)</f>
        <v/>
      </c>
      <c r="E276" s="485">
        <f>SUM(E272:E275)</f>
        <v/>
      </c>
      <c r="F276" s="485">
        <f>SUM(F272:F275)</f>
        <v/>
      </c>
      <c r="G276" s="485">
        <f>SUM(G272:G275)</f>
        <v/>
      </c>
      <c r="H276" s="485">
        <f>SUM(H272:H275)</f>
        <v/>
      </c>
      <c r="I276" s="485">
        <f>SUM(I272:I275)</f>
        <v/>
      </c>
      <c r="J276" s="485">
        <f>SUM(J272:J275)</f>
        <v/>
      </c>
      <c r="K276" s="485">
        <f>SUM(K272:K275)</f>
        <v/>
      </c>
      <c r="L276" s="485">
        <f>SUM(L272:L275)</f>
        <v/>
      </c>
      <c r="M276" s="485">
        <f>SUM(M272:M275)</f>
        <v/>
      </c>
      <c r="N276" s="485">
        <f>SUM(N272:N275)</f>
        <v/>
      </c>
      <c r="O276" s="486">
        <f>SUM(C276:N276)</f>
        <v/>
      </c>
      <c r="P276" s="1" t="n"/>
      <c r="Q276" s="16" t="n"/>
      <c r="R276" s="16" t="n"/>
      <c r="S276" s="16" t="n"/>
      <c r="T276" s="16" t="n"/>
      <c r="U276" s="16" t="n"/>
      <c r="V276" s="16" t="n"/>
      <c r="W276" s="16" t="n"/>
      <c r="X276" s="16" t="n"/>
      <c r="Y276" s="16" t="n"/>
      <c r="Z276" s="16" t="n"/>
    </row>
    <row r="277" ht="12.75" customHeight="1" s="588">
      <c r="A277" s="795" t="inlineStr">
        <is>
          <t>SALDO FINAL (1+2+3+4)</t>
        </is>
      </c>
      <c r="B277" s="591" t="n"/>
      <c r="C277" s="505">
        <f>C249+C251+C271+C276</f>
        <v/>
      </c>
      <c r="D277" s="485">
        <f>D249+D251+D271+D276</f>
        <v/>
      </c>
      <c r="E277" s="485">
        <f>E249+E251+E271+E276</f>
        <v/>
      </c>
      <c r="F277" s="485">
        <f>F249+F251+F271+F276</f>
        <v/>
      </c>
      <c r="G277" s="485">
        <f>G249+G251+G271+G276</f>
        <v/>
      </c>
      <c r="H277" s="485">
        <f>H249+H251+H271+H276</f>
        <v/>
      </c>
      <c r="I277" s="485">
        <f>I249+I251+I271+I276</f>
        <v/>
      </c>
      <c r="J277" s="485">
        <f>J249+J251+J271+J276</f>
        <v/>
      </c>
      <c r="K277" s="485">
        <f>K249+K251+K271+K276</f>
        <v/>
      </c>
      <c r="L277" s="485">
        <f>L249+L251+L271+L276</f>
        <v/>
      </c>
      <c r="M277" s="485">
        <f>M249+M251+M271+M276</f>
        <v/>
      </c>
      <c r="N277" s="485">
        <f>N249+N251+N271+N276</f>
        <v/>
      </c>
      <c r="O277" s="486">
        <f>N277</f>
        <v/>
      </c>
      <c r="P277" s="1" t="n"/>
      <c r="Q277" s="16" t="n"/>
      <c r="R277" s="16" t="n"/>
      <c r="S277" s="16" t="n"/>
      <c r="T277" s="16" t="n"/>
      <c r="U277" s="16" t="n"/>
      <c r="V277" s="16" t="n"/>
      <c r="W277" s="16" t="n"/>
      <c r="X277" s="16" t="n"/>
      <c r="Y277" s="16" t="n"/>
      <c r="Z277" s="16" t="n"/>
    </row>
    <row r="278" ht="12.75" customHeight="1" s="588">
      <c r="A278" s="1" t="n"/>
      <c r="B278" s="1" t="n"/>
      <c r="C278" s="509" t="n"/>
      <c r="D278" s="509" t="n"/>
      <c r="E278" s="509" t="n"/>
      <c r="F278" s="509" t="n"/>
      <c r="G278" s="509" t="n"/>
      <c r="H278" s="509" t="n"/>
      <c r="I278" s="509" t="n"/>
      <c r="J278" s="509" t="n"/>
      <c r="K278" s="509" t="n"/>
      <c r="L278" s="509" t="n"/>
      <c r="M278" s="509" t="n"/>
      <c r="N278" s="509" t="n"/>
      <c r="O278" s="506" t="n"/>
      <c r="P278" s="1" t="n"/>
      <c r="Q278" s="16" t="n"/>
      <c r="R278" s="16" t="n"/>
      <c r="S278" s="16" t="n"/>
      <c r="T278" s="16" t="n"/>
      <c r="U278" s="16" t="n"/>
      <c r="V278" s="16" t="n"/>
      <c r="W278" s="16" t="n"/>
      <c r="X278" s="16" t="n"/>
      <c r="Y278" s="16" t="n"/>
      <c r="Z278" s="16" t="n"/>
    </row>
    <row r="279" ht="12.75" customHeight="1" s="588">
      <c r="A279" s="8" t="inlineStr">
        <is>
          <t>¿CUÁNTO Y CUÁNDO?</t>
        </is>
      </c>
      <c r="B279" s="1" t="n"/>
      <c r="C279" s="1" t="n"/>
      <c r="D279" s="1" t="n"/>
      <c r="E279" s="1" t="n"/>
      <c r="F279" s="1" t="n"/>
      <c r="G279" s="1" t="n"/>
      <c r="H279" s="1" t="n"/>
      <c r="I279" s="1" t="n"/>
      <c r="J279" s="185" t="n"/>
      <c r="K279" s="185" t="n"/>
      <c r="L279" s="1" t="n"/>
      <c r="M279" s="1" t="n"/>
      <c r="N279" s="1" t="n"/>
      <c r="O279" s="1" t="n"/>
      <c r="P279" s="185" t="inlineStr">
        <is>
          <t>Plan Financiero</t>
        </is>
      </c>
      <c r="Q279" s="16" t="n"/>
      <c r="R279" s="16" t="n"/>
      <c r="S279" s="16" t="n"/>
      <c r="T279" s="16" t="n"/>
      <c r="U279" s="16" t="n"/>
      <c r="V279" s="16" t="n"/>
      <c r="W279" s="16" t="n"/>
      <c r="X279" s="16" t="n"/>
      <c r="Y279" s="16" t="n"/>
      <c r="Z279" s="16" t="n"/>
    </row>
    <row r="280" ht="12.75" customHeight="1" s="588">
      <c r="A280" s="1" t="n"/>
      <c r="B280" s="1" t="n"/>
      <c r="C280" s="1" t="n"/>
      <c r="D280" s="1" t="n"/>
      <c r="E280" s="1" t="n"/>
      <c r="F280" s="768" t="inlineStr">
        <is>
          <t>CUENTA DE PÉRDIDAS Y GANANCIAS 3 AÑOS</t>
        </is>
      </c>
      <c r="G280" s="649" t="n"/>
      <c r="H280" s="649" t="n"/>
      <c r="I280" s="649" t="n"/>
      <c r="J280" s="649" t="n"/>
      <c r="K280" s="647" t="n"/>
      <c r="L280" s="1" t="n"/>
      <c r="M280" s="1" t="n"/>
      <c r="N280" s="1" t="n"/>
      <c r="O280" s="1" t="n"/>
      <c r="P280" s="1" t="n"/>
      <c r="Q280" s="16" t="n"/>
      <c r="R280" s="16" t="n"/>
      <c r="S280" s="16" t="n"/>
      <c r="T280" s="16" t="n"/>
      <c r="U280" s="16" t="n"/>
      <c r="V280" s="16" t="n"/>
      <c r="W280" s="16" t="n"/>
      <c r="X280" s="16" t="n"/>
      <c r="Y280" s="16" t="n"/>
      <c r="Z280" s="16" t="n"/>
    </row>
    <row r="281" ht="8.25" customHeight="1" s="588">
      <c r="A281" s="1" t="n"/>
      <c r="B281" s="1" t="n"/>
      <c r="C281" s="1" t="n"/>
      <c r="D281" s="1" t="n"/>
      <c r="E281" s="1" t="n"/>
      <c r="F281" s="169" t="n"/>
      <c r="G281" s="1" t="n"/>
      <c r="H281" s="1" t="n"/>
      <c r="I281" s="1" t="n"/>
      <c r="J281" s="1" t="n"/>
      <c r="K281" s="1" t="n"/>
      <c r="L281" s="18" t="n"/>
      <c r="M281" s="1" t="n"/>
      <c r="N281" s="1" t="n"/>
      <c r="O281" s="1" t="n"/>
      <c r="P281" s="1" t="n"/>
      <c r="Q281" s="16" t="n"/>
      <c r="R281" s="16" t="n"/>
      <c r="S281" s="16" t="n"/>
      <c r="T281" s="16" t="n"/>
      <c r="U281" s="16" t="n"/>
      <c r="V281" s="16" t="n"/>
      <c r="W281" s="16" t="n"/>
      <c r="X281" s="16" t="n"/>
      <c r="Y281" s="16" t="n"/>
      <c r="Z281" s="16" t="n"/>
    </row>
    <row r="282" ht="12.75" customHeight="1" s="588">
      <c r="A282" s="1" t="n"/>
      <c r="B282" s="1" t="n"/>
      <c r="C282" s="1" t="n"/>
      <c r="D282" s="1" t="n"/>
      <c r="E282" s="456" t="n"/>
      <c r="F282" s="796" t="inlineStr">
        <is>
          <t>AÑO 1</t>
        </is>
      </c>
      <c r="G282" s="591" t="n"/>
      <c r="H282" s="1" t="n"/>
      <c r="I282" s="796" t="inlineStr">
        <is>
          <t>AÑO 2</t>
        </is>
      </c>
      <c r="J282" s="591" t="n"/>
      <c r="K282" s="511" t="inlineStr">
        <is>
          <t>D</t>
        </is>
      </c>
      <c r="L282" s="1" t="n"/>
      <c r="M282" s="796" t="inlineStr">
        <is>
          <t>AÑO 3</t>
        </is>
      </c>
      <c r="N282" s="591" t="n"/>
      <c r="O282" s="511" t="inlineStr">
        <is>
          <t>D</t>
        </is>
      </c>
      <c r="P282" s="1" t="n"/>
      <c r="Q282" s="16" t="n"/>
      <c r="R282" s="16" t="n"/>
      <c r="S282" s="16" t="n"/>
      <c r="T282" s="16" t="n"/>
      <c r="U282" s="16" t="n"/>
      <c r="V282" s="16" t="n"/>
      <c r="W282" s="16" t="n"/>
      <c r="X282" s="16" t="n"/>
      <c r="Y282" s="16" t="n"/>
      <c r="Z282" s="16" t="n"/>
    </row>
    <row r="283" ht="6.75" customHeight="1" s="588">
      <c r="A283" s="1" t="n"/>
      <c r="B283" s="1" t="n"/>
      <c r="C283" s="1" t="n"/>
      <c r="D283" s="1" t="n"/>
      <c r="E283" s="456" t="n"/>
      <c r="F283" s="456" t="n"/>
      <c r="G283" s="512" t="n"/>
      <c r="H283" s="1" t="n"/>
      <c r="I283" s="456" t="n"/>
      <c r="J283" s="512" t="n"/>
      <c r="K283" s="513" t="n"/>
      <c r="L283" s="1" t="n"/>
      <c r="M283" s="456" t="n"/>
      <c r="N283" s="512" t="n"/>
      <c r="O283" s="513" t="n"/>
      <c r="P283" s="1" t="n"/>
      <c r="Q283" s="16" t="n"/>
      <c r="R283" s="16" t="n"/>
      <c r="S283" s="16" t="n"/>
      <c r="T283" s="16" t="n"/>
      <c r="U283" s="16" t="n"/>
      <c r="V283" s="16" t="n"/>
      <c r="W283" s="16" t="n"/>
      <c r="X283" s="16" t="n"/>
      <c r="Y283" s="16" t="n"/>
      <c r="Z283" s="16" t="n"/>
    </row>
    <row r="284" ht="12.75" customHeight="1" s="588">
      <c r="A284" s="1" t="n"/>
      <c r="B284" s="797" t="inlineStr">
        <is>
          <t>VENTAS</t>
        </is>
      </c>
      <c r="C284" s="590" t="n"/>
      <c r="D284" s="591" t="n"/>
      <c r="E284" s="456" t="n"/>
      <c r="F284" s="747">
        <f>O180</f>
        <v/>
      </c>
      <c r="G284" s="591" t="n"/>
      <c r="H284" s="1" t="n"/>
      <c r="I284" s="747">
        <f>O128</f>
        <v/>
      </c>
      <c r="J284" s="591" t="n"/>
      <c r="K284" s="317">
        <f>(I284-F284)/F284</f>
        <v/>
      </c>
      <c r="L284" s="1" t="n"/>
      <c r="M284" s="747">
        <f>O132</f>
        <v/>
      </c>
      <c r="N284" s="591" t="n"/>
      <c r="O284" s="317">
        <f>(M284-I284)/I284</f>
        <v/>
      </c>
      <c r="P284" s="1" t="n"/>
      <c r="Q284" s="16" t="n"/>
      <c r="R284" s="16" t="n"/>
      <c r="S284" s="16" t="n"/>
      <c r="T284" s="16" t="n"/>
      <c r="U284" s="16" t="n"/>
      <c r="V284" s="16" t="n"/>
      <c r="W284" s="16" t="n"/>
      <c r="X284" s="16" t="n"/>
      <c r="Y284" s="16" t="n"/>
      <c r="Z284" s="16" t="n"/>
    </row>
    <row r="285" ht="12.75" customHeight="1" s="588">
      <c r="A285" s="1" t="n"/>
      <c r="B285" s="798" t="inlineStr">
        <is>
          <t>Coste de Ventas</t>
        </is>
      </c>
      <c r="C285" s="590" t="n"/>
      <c r="D285" s="590" t="n"/>
      <c r="E285" s="516" t="n"/>
      <c r="F285" s="799">
        <f>O181</f>
        <v/>
      </c>
      <c r="G285" s="590" t="n"/>
      <c r="H285" s="1" t="n"/>
      <c r="I285" s="799">
        <f>-I284*(100%-$J$117)</f>
        <v/>
      </c>
      <c r="J285" s="590" t="n"/>
      <c r="K285" s="312">
        <f>IF(F285=0,0,(I285-F285)/F285)</f>
        <v/>
      </c>
      <c r="L285" s="1" t="n"/>
      <c r="M285" s="799">
        <f>-M284*(100%-$J$117)</f>
        <v/>
      </c>
      <c r="N285" s="590" t="n"/>
      <c r="O285" s="312">
        <f>IF(I285=0,0,(M285-I285)/I285)</f>
        <v/>
      </c>
      <c r="P285" s="1" t="n"/>
      <c r="Q285" s="16" t="n"/>
      <c r="R285" s="16" t="n"/>
      <c r="S285" s="16" t="n"/>
      <c r="T285" s="16" t="n"/>
      <c r="U285" s="16" t="n"/>
      <c r="V285" s="16" t="n"/>
      <c r="W285" s="16" t="n"/>
      <c r="X285" s="16" t="n"/>
      <c r="Y285" s="16" t="n"/>
      <c r="Z285" s="16" t="n"/>
    </row>
    <row r="286" ht="12.75" customHeight="1" s="588">
      <c r="A286" s="1" t="n"/>
      <c r="B286" s="797" t="inlineStr">
        <is>
          <t>MARGEN BRUTO</t>
        </is>
      </c>
      <c r="C286" s="590" t="n"/>
      <c r="D286" s="591" t="n"/>
      <c r="E286" s="456" t="n"/>
      <c r="F286" s="747">
        <f>O182</f>
        <v/>
      </c>
      <c r="G286" s="591" t="n"/>
      <c r="H286" s="1" t="n"/>
      <c r="I286" s="747">
        <f>I284+I285</f>
        <v/>
      </c>
      <c r="J286" s="591" t="n"/>
      <c r="K286" s="317">
        <f>(I286-F286)/F286</f>
        <v/>
      </c>
      <c r="L286" s="1" t="n"/>
      <c r="M286" s="747">
        <f>M284+M285</f>
        <v/>
      </c>
      <c r="N286" s="591" t="n"/>
      <c r="O286" s="317">
        <f>(M286-I286)/I286</f>
        <v/>
      </c>
      <c r="P286" s="1" t="n"/>
      <c r="Q286" s="16" t="n"/>
      <c r="R286" s="16" t="n"/>
      <c r="S286" s="16" t="n"/>
      <c r="T286" s="16" t="n"/>
      <c r="U286" s="16" t="n"/>
      <c r="V286" s="16" t="n"/>
      <c r="W286" s="16" t="n"/>
      <c r="X286" s="16" t="n"/>
      <c r="Y286" s="16" t="n"/>
      <c r="Z286" s="16" t="n"/>
    </row>
    <row r="287" ht="12.75" customHeight="1" s="588">
      <c r="A287" s="1" t="n"/>
      <c r="B287" s="72" t="inlineStr">
        <is>
          <t>Retribuciones  Empresarios</t>
        </is>
      </c>
      <c r="E287" s="516" t="n"/>
      <c r="F287" s="532">
        <f>O183</f>
        <v/>
      </c>
      <c r="H287" s="1" t="n"/>
      <c r="I287" s="532">
        <f>IF($D$20=25%,-D174,-D172)</f>
        <v/>
      </c>
      <c r="K287" s="312">
        <f>(I287-F287)/F287</f>
        <v/>
      </c>
      <c r="L287" s="1" t="n"/>
      <c r="M287" s="532">
        <f>IF($D$20=25%,-E174,-E172)</f>
        <v/>
      </c>
      <c r="O287" s="312">
        <f>(M287-I287)/I287</f>
        <v/>
      </c>
      <c r="P287" s="1" t="n"/>
      <c r="Q287" s="16" t="n"/>
      <c r="R287" s="16" t="n"/>
      <c r="S287" s="16" t="n"/>
      <c r="T287" s="16" t="n"/>
      <c r="U287" s="16" t="n"/>
      <c r="V287" s="16" t="n"/>
      <c r="W287" s="16" t="n"/>
      <c r="X287" s="16" t="n"/>
      <c r="Y287" s="16" t="n"/>
      <c r="Z287" s="16" t="n"/>
    </row>
    <row r="288" ht="12.75" customHeight="1" s="588">
      <c r="A288" s="1" t="n"/>
      <c r="B288" s="800" t="inlineStr">
        <is>
          <t>Salarios y SS</t>
        </is>
      </c>
      <c r="E288" s="516" t="n"/>
      <c r="F288" s="532">
        <f>O184</f>
        <v/>
      </c>
      <c r="H288" s="1" t="n"/>
      <c r="I288" s="353">
        <f>-O172-IF($D$20=25%,0,D173)</f>
        <v/>
      </c>
      <c r="K288" s="312">
        <f>IF(F288=0,0,(I288-F288)/F288)</f>
        <v/>
      </c>
      <c r="L288" s="1" t="n"/>
      <c r="M288" s="353">
        <f>-P172-IF($D$20=25%,0,E173)</f>
        <v/>
      </c>
      <c r="O288" s="312">
        <f>IF(I288=0,0,(M288-I288)/I288)</f>
        <v/>
      </c>
      <c r="P288" s="1" t="n"/>
      <c r="Q288" s="16" t="n"/>
      <c r="R288" s="16" t="n"/>
      <c r="S288" s="16" t="n"/>
      <c r="T288" s="16" t="n"/>
      <c r="U288" s="16" t="n"/>
      <c r="V288" s="16" t="n"/>
      <c r="W288" s="16" t="n"/>
      <c r="X288" s="16" t="n"/>
      <c r="Y288" s="16" t="n"/>
      <c r="Z288" s="16" t="n"/>
    </row>
    <row r="289" ht="12.75" customHeight="1" s="588">
      <c r="A289" s="1" t="n"/>
      <c r="B289" s="800" t="inlineStr">
        <is>
          <t>Tributos</t>
        </is>
      </c>
      <c r="E289" s="516" t="n"/>
      <c r="F289" s="532">
        <f>O185</f>
        <v/>
      </c>
      <c r="H289" s="1" t="n"/>
      <c r="I289" s="353">
        <f>F289*(100%+K289)</f>
        <v/>
      </c>
      <c r="K289" s="410">
        <f>$H$25</f>
        <v/>
      </c>
      <c r="L289" s="1" t="n"/>
      <c r="M289" s="353">
        <f>I289*(100%+O289)</f>
        <v/>
      </c>
      <c r="O289" s="410">
        <f>$H$25</f>
        <v/>
      </c>
      <c r="P289" s="1" t="n"/>
      <c r="Q289" s="16" t="n"/>
      <c r="R289" s="16" t="n"/>
      <c r="S289" s="16" t="n"/>
      <c r="T289" s="16" t="n"/>
      <c r="U289" s="16" t="n"/>
      <c r="V289" s="16" t="n"/>
      <c r="W289" s="16" t="n"/>
      <c r="X289" s="16" t="n"/>
      <c r="Y289" s="16" t="n"/>
      <c r="Z289" s="16" t="n"/>
    </row>
    <row r="290" ht="12.75" customHeight="1" s="588">
      <c r="A290" s="1" t="n"/>
      <c r="B290" s="800" t="inlineStr">
        <is>
          <t>Seguros, Colegio Prof., etc.</t>
        </is>
      </c>
      <c r="E290" s="516" t="n"/>
      <c r="F290" s="532">
        <f>O186</f>
        <v/>
      </c>
      <c r="H290" s="1" t="n"/>
      <c r="I290" s="353">
        <f>F290*(100%+K290)</f>
        <v/>
      </c>
      <c r="K290" s="410">
        <f>$H$25</f>
        <v/>
      </c>
      <c r="L290" s="1" t="n"/>
      <c r="M290" s="353">
        <f>I290*(100%+O290)</f>
        <v/>
      </c>
      <c r="O290" s="410">
        <f>$H$25</f>
        <v/>
      </c>
      <c r="P290" s="1" t="n"/>
      <c r="Q290" s="16" t="n"/>
      <c r="R290" s="16" t="n"/>
      <c r="S290" s="16" t="n"/>
      <c r="T290" s="16" t="n"/>
      <c r="U290" s="16" t="n"/>
      <c r="V290" s="16" t="n"/>
      <c r="W290" s="16" t="n"/>
      <c r="X290" s="16" t="n"/>
      <c r="Y290" s="16" t="n"/>
      <c r="Z290" s="16" t="n"/>
    </row>
    <row r="291" ht="12.75" customHeight="1" s="588">
      <c r="A291" s="1" t="n"/>
      <c r="B291" s="800" t="inlineStr">
        <is>
          <t>Suministros</t>
        </is>
      </c>
      <c r="E291" s="516" t="n"/>
      <c r="F291" s="532">
        <f>O187</f>
        <v/>
      </c>
      <c r="H291" s="1" t="n"/>
      <c r="I291" s="353">
        <f>F291*(100%+K291)</f>
        <v/>
      </c>
      <c r="K291" s="410">
        <f>$H$25</f>
        <v/>
      </c>
      <c r="L291" s="1" t="n"/>
      <c r="M291" s="353">
        <f>I291*(100%+O291)</f>
        <v/>
      </c>
      <c r="O291" s="410">
        <f>$H$25</f>
        <v/>
      </c>
      <c r="P291" s="1" t="n"/>
      <c r="Q291" s="16" t="n"/>
      <c r="R291" s="16" t="n"/>
      <c r="S291" s="16" t="n"/>
      <c r="T291" s="16" t="n"/>
      <c r="U291" s="16" t="n"/>
      <c r="V291" s="16" t="n"/>
      <c r="W291" s="16" t="n"/>
      <c r="X291" s="16" t="n"/>
      <c r="Y291" s="16" t="n"/>
      <c r="Z291" s="16" t="n"/>
    </row>
    <row r="292" ht="12.75" customHeight="1" s="588">
      <c r="A292" s="1" t="n"/>
      <c r="B292" s="800" t="inlineStr">
        <is>
          <t>Asesoria, PRL, etc.</t>
        </is>
      </c>
      <c r="E292" s="516" t="n"/>
      <c r="F292" s="532">
        <f>O188</f>
        <v/>
      </c>
      <c r="H292" s="1" t="n"/>
      <c r="I292" s="353">
        <f>F292*(100%+K292)</f>
        <v/>
      </c>
      <c r="K292" s="410">
        <f>$H$25</f>
        <v/>
      </c>
      <c r="L292" s="1" t="n"/>
      <c r="M292" s="353">
        <f>I292*(100%+O292)</f>
        <v/>
      </c>
      <c r="O292" s="410">
        <f>$H$25</f>
        <v/>
      </c>
      <c r="P292" s="1" t="n"/>
      <c r="Q292" s="16" t="n"/>
      <c r="R292" s="16" t="n"/>
      <c r="S292" s="16" t="n"/>
      <c r="T292" s="16" t="n"/>
      <c r="U292" s="16" t="n"/>
      <c r="V292" s="16" t="n"/>
      <c r="W292" s="16" t="n"/>
      <c r="X292" s="16" t="n"/>
      <c r="Y292" s="16" t="n"/>
      <c r="Z292" s="16" t="n"/>
    </row>
    <row r="293" ht="12.75" customHeight="1" s="588">
      <c r="A293" s="1" t="n"/>
      <c r="B293" s="800" t="inlineStr">
        <is>
          <t>Material de oficina</t>
        </is>
      </c>
      <c r="E293" s="516" t="n"/>
      <c r="F293" s="532">
        <f>O189</f>
        <v/>
      </c>
      <c r="H293" s="1" t="n"/>
      <c r="I293" s="353">
        <f>F293*(100%+K293)</f>
        <v/>
      </c>
      <c r="K293" s="410">
        <f>$H$25</f>
        <v/>
      </c>
      <c r="L293" s="1" t="n"/>
      <c r="M293" s="353">
        <f>I293*(100%+O293)</f>
        <v/>
      </c>
      <c r="O293" s="410">
        <f>$H$25</f>
        <v/>
      </c>
      <c r="P293" s="1" t="n"/>
      <c r="Q293" s="16" t="n"/>
      <c r="R293" s="16" t="n"/>
      <c r="S293" s="16" t="n"/>
      <c r="T293" s="16" t="n"/>
      <c r="U293" s="16" t="n"/>
      <c r="V293" s="16" t="n"/>
      <c r="W293" s="16" t="n"/>
      <c r="X293" s="16" t="n"/>
      <c r="Y293" s="16" t="n"/>
      <c r="Z293" s="16" t="n"/>
    </row>
    <row r="294" ht="12.75" customHeight="1" s="588">
      <c r="A294" s="1" t="n"/>
      <c r="B294" s="800" t="inlineStr">
        <is>
          <t>Publicidad</t>
        </is>
      </c>
      <c r="E294" s="516" t="n"/>
      <c r="F294" s="532">
        <f>O190</f>
        <v/>
      </c>
      <c r="H294" s="1" t="n"/>
      <c r="I294" s="353">
        <f>F294*(100%+K294)</f>
        <v/>
      </c>
      <c r="K294" s="410">
        <f>$H$25</f>
        <v/>
      </c>
      <c r="L294" s="1" t="n"/>
      <c r="M294" s="353">
        <f>I294*(100%+O294)</f>
        <v/>
      </c>
      <c r="O294" s="410">
        <f>$H$25</f>
        <v/>
      </c>
      <c r="P294" s="1" t="n"/>
      <c r="Q294" s="16" t="n"/>
      <c r="R294" s="16" t="n"/>
      <c r="S294" s="16" t="n"/>
      <c r="T294" s="16" t="n"/>
      <c r="U294" s="16" t="n"/>
      <c r="V294" s="16" t="n"/>
      <c r="W294" s="16" t="n"/>
      <c r="X294" s="16" t="n"/>
      <c r="Y294" s="16" t="n"/>
      <c r="Z294" s="16" t="n"/>
    </row>
    <row r="295" ht="12.75" customHeight="1" s="588">
      <c r="A295" s="1" t="n"/>
      <c r="B295" s="800" t="inlineStr">
        <is>
          <t>Gastos de Viaje</t>
        </is>
      </c>
      <c r="E295" s="516" t="n"/>
      <c r="F295" s="532">
        <f>O191</f>
        <v/>
      </c>
      <c r="H295" s="1" t="n"/>
      <c r="I295" s="353">
        <f>F295*(100%+K295)</f>
        <v/>
      </c>
      <c r="K295" s="410">
        <f>$H$25</f>
        <v/>
      </c>
      <c r="L295" s="1" t="n"/>
      <c r="M295" s="353">
        <f>I295*(100%+O295)</f>
        <v/>
      </c>
      <c r="O295" s="410">
        <f>$H$25</f>
        <v/>
      </c>
      <c r="P295" s="1" t="n"/>
      <c r="Q295" s="16" t="n"/>
      <c r="R295" s="16" t="n"/>
      <c r="S295" s="16" t="n"/>
      <c r="T295" s="16" t="n"/>
      <c r="U295" s="16" t="n"/>
      <c r="V295" s="16" t="n"/>
      <c r="W295" s="16" t="n"/>
      <c r="X295" s="16" t="n"/>
      <c r="Y295" s="16" t="n"/>
      <c r="Z295" s="16" t="n"/>
    </row>
    <row r="296" ht="12.75" customHeight="1" s="588">
      <c r="A296" s="1" t="n"/>
      <c r="B296" s="800" t="inlineStr">
        <is>
          <t>Mantenimiento</t>
        </is>
      </c>
      <c r="E296" s="516" t="n"/>
      <c r="F296" s="532">
        <f>O192</f>
        <v/>
      </c>
      <c r="H296" s="1" t="n"/>
      <c r="I296" s="353">
        <f>F296*(100%+K296)</f>
        <v/>
      </c>
      <c r="K296" s="410">
        <f>$H$25</f>
        <v/>
      </c>
      <c r="L296" s="1" t="n"/>
      <c r="M296" s="353">
        <f>I296*(100%+O296)</f>
        <v/>
      </c>
      <c r="O296" s="410">
        <f>$H$25</f>
        <v/>
      </c>
      <c r="P296" s="1" t="n"/>
      <c r="Q296" s="16" t="n"/>
      <c r="R296" s="16" t="n"/>
      <c r="S296" s="16" t="n"/>
      <c r="T296" s="16" t="n"/>
      <c r="U296" s="16" t="n"/>
      <c r="V296" s="16" t="n"/>
      <c r="W296" s="16" t="n"/>
      <c r="X296" s="16" t="n"/>
      <c r="Y296" s="16" t="n"/>
      <c r="Z296" s="16" t="n"/>
    </row>
    <row r="297" ht="12.75" customHeight="1" s="588">
      <c r="A297" s="1" t="n"/>
      <c r="B297" s="800" t="inlineStr">
        <is>
          <t>Varios</t>
        </is>
      </c>
      <c r="E297" s="516" t="n"/>
      <c r="F297" s="532">
        <f>O193</f>
        <v/>
      </c>
      <c r="H297" s="1" t="n"/>
      <c r="I297" s="353">
        <f>F297*(100%+K297)</f>
        <v/>
      </c>
      <c r="K297" s="410">
        <f>$H$25</f>
        <v/>
      </c>
      <c r="L297" s="1" t="n"/>
      <c r="M297" s="353">
        <f>I297*(100%+O297)</f>
        <v/>
      </c>
      <c r="O297" s="410">
        <f>$H$25</f>
        <v/>
      </c>
      <c r="P297" s="1" t="n"/>
      <c r="Q297" s="16" t="n"/>
      <c r="R297" s="16" t="n"/>
      <c r="S297" s="16" t="n"/>
      <c r="T297" s="16" t="n"/>
      <c r="U297" s="16" t="n"/>
      <c r="V297" s="16" t="n"/>
      <c r="W297" s="16" t="n"/>
      <c r="X297" s="16" t="n"/>
      <c r="Y297" s="16" t="n"/>
      <c r="Z297" s="16" t="n"/>
    </row>
    <row r="298" ht="12.75" customHeight="1" s="588">
      <c r="A298" s="1" t="n"/>
      <c r="B298" s="800" t="inlineStr">
        <is>
          <t>Arrendamientos</t>
        </is>
      </c>
      <c r="E298" s="516" t="n"/>
      <c r="F298" s="532">
        <f>O194</f>
        <v/>
      </c>
      <c r="H298" s="1" t="n"/>
      <c r="I298" s="353">
        <f>F298*(100%+K298)</f>
        <v/>
      </c>
      <c r="K298" s="410">
        <f>$H$25</f>
        <v/>
      </c>
      <c r="L298" s="1" t="n"/>
      <c r="M298" s="353">
        <f>I298*(100%+O298)</f>
        <v/>
      </c>
      <c r="O298" s="410">
        <f>$H$25</f>
        <v/>
      </c>
      <c r="P298" s="1" t="n"/>
      <c r="Q298" s="16" t="n"/>
      <c r="R298" s="16" t="n"/>
      <c r="S298" s="16" t="n"/>
      <c r="T298" s="16" t="n"/>
      <c r="U298" s="16" t="n"/>
      <c r="V298" s="16" t="n"/>
      <c r="W298" s="16" t="n"/>
      <c r="X298" s="16" t="n"/>
      <c r="Y298" s="16" t="n"/>
      <c r="Z298" s="16" t="n"/>
    </row>
    <row r="299" ht="12.75" customHeight="1" s="588">
      <c r="A299" s="1" t="n"/>
      <c r="B299" s="800" t="inlineStr">
        <is>
          <t>Gastos Previos Iniciales</t>
        </is>
      </c>
      <c r="E299" s="516" t="n"/>
      <c r="F299" s="532">
        <f>O195</f>
        <v/>
      </c>
      <c r="H299" s="1" t="n"/>
      <c r="I299" s="516" t="n"/>
      <c r="K299" s="312" t="n"/>
      <c r="L299" s="1" t="n"/>
      <c r="M299" s="516" t="n"/>
      <c r="O299" s="520" t="n"/>
      <c r="P299" s="1" t="n"/>
      <c r="Q299" s="16" t="n"/>
      <c r="R299" s="16" t="n"/>
      <c r="S299" s="16" t="n"/>
      <c r="T299" s="16" t="n"/>
      <c r="U299" s="16" t="n"/>
      <c r="V299" s="16" t="n"/>
      <c r="W299" s="16" t="n"/>
      <c r="X299" s="16" t="n"/>
      <c r="Y299" s="16" t="n"/>
      <c r="Z299" s="16" t="n"/>
    </row>
    <row r="300" ht="12.75" customHeight="1" s="588">
      <c r="A300" s="1" t="n"/>
      <c r="B300" s="797" t="inlineStr">
        <is>
          <t>EBITDA</t>
        </is>
      </c>
      <c r="C300" s="590" t="n"/>
      <c r="D300" s="591" t="n"/>
      <c r="E300" s="456" t="n"/>
      <c r="F300" s="747">
        <f>O196</f>
        <v/>
      </c>
      <c r="G300" s="591" t="n"/>
      <c r="H300" s="1" t="n"/>
      <c r="I300" s="747">
        <f>I286+IF(D150="n/a",SUM(I288:I299),SUM(I287:I299))</f>
        <v/>
      </c>
      <c r="J300" s="591" t="n"/>
      <c r="K300" s="317">
        <f>IF(F300&lt;1,"",(I300-F300)/F300)</f>
        <v/>
      </c>
      <c r="L300" s="1" t="n"/>
      <c r="M300" s="747">
        <f>M286+IF(E150="n/a",SUM(M288:M299),SUM(M287:M299))</f>
        <v/>
      </c>
      <c r="N300" s="591" t="n"/>
      <c r="O300" s="317">
        <f>(M300-I300)/I300</f>
        <v/>
      </c>
      <c r="P300" s="1" t="n"/>
      <c r="Q300" s="16" t="n"/>
      <c r="R300" s="16" t="n"/>
      <c r="S300" s="16" t="n"/>
      <c r="T300" s="16" t="n"/>
      <c r="U300" s="16" t="n"/>
      <c r="V300" s="16" t="n"/>
      <c r="W300" s="16" t="n"/>
      <c r="X300" s="16" t="n"/>
      <c r="Y300" s="16" t="n"/>
      <c r="Z300" s="16" t="n"/>
    </row>
    <row r="301" ht="12.75" customHeight="1" s="588">
      <c r="A301" s="1" t="n"/>
      <c r="B301" s="801" t="inlineStr">
        <is>
          <t>Amortizaciones</t>
        </is>
      </c>
      <c r="C301" s="593" t="n"/>
      <c r="D301" s="593" t="n"/>
      <c r="E301" s="516" t="n"/>
      <c r="F301" s="799">
        <f>O197</f>
        <v/>
      </c>
      <c r="G301" s="590" t="n"/>
      <c r="H301" s="1" t="n"/>
      <c r="I301" s="799">
        <f>F301-L53*L54</f>
        <v/>
      </c>
      <c r="J301" s="590" t="n"/>
      <c r="K301" s="312">
        <f>IF(F301&gt;-1,"",(I301-F301)/F301)</f>
        <v/>
      </c>
      <c r="L301" s="1" t="n"/>
      <c r="M301" s="799">
        <f>I301-N64*N63</f>
        <v/>
      </c>
      <c r="N301" s="590" t="n"/>
      <c r="O301" s="312">
        <f>IF(I301=0,"",(M301-I301)/I301)</f>
        <v/>
      </c>
      <c r="P301" s="1" t="n"/>
      <c r="Q301" s="16" t="n"/>
      <c r="R301" s="16" t="n"/>
      <c r="S301" s="16" t="n"/>
      <c r="T301" s="16" t="n"/>
      <c r="U301" s="16" t="n"/>
      <c r="V301" s="16" t="n"/>
      <c r="W301" s="16" t="n"/>
      <c r="X301" s="16" t="n"/>
      <c r="Y301" s="16" t="n"/>
      <c r="Z301" s="16" t="n"/>
    </row>
    <row r="302" ht="12.75" customHeight="1" s="588">
      <c r="A302" s="1" t="n"/>
      <c r="B302" s="797" t="inlineStr">
        <is>
          <t>EBIT (Resultado de Explotación)</t>
        </is>
      </c>
      <c r="C302" s="590" t="n"/>
      <c r="D302" s="591" t="n"/>
      <c r="E302" s="456" t="n"/>
      <c r="F302" s="747">
        <f>O198</f>
        <v/>
      </c>
      <c r="G302" s="591" t="n"/>
      <c r="H302" s="1" t="n"/>
      <c r="I302" s="747">
        <f>I300+I301</f>
        <v/>
      </c>
      <c r="J302" s="591" t="n"/>
      <c r="K302" s="317">
        <f>IF(F302&lt;1,"",(I302-F302)/F302)</f>
        <v/>
      </c>
      <c r="L302" s="1" t="n"/>
      <c r="M302" s="446">
        <f>M300+M301</f>
        <v/>
      </c>
      <c r="N302" s="591" t="n"/>
      <c r="O302" s="317">
        <f>(M302-I302)/I302</f>
        <v/>
      </c>
      <c r="P302" s="1" t="n"/>
      <c r="Q302" s="16" t="n"/>
      <c r="R302" s="16" t="n"/>
      <c r="S302" s="16" t="n"/>
      <c r="T302" s="16" t="n"/>
      <c r="U302" s="16" t="n"/>
      <c r="V302" s="16" t="n"/>
      <c r="W302" s="16" t="n"/>
      <c r="X302" s="16" t="n"/>
      <c r="Y302" s="16" t="n"/>
      <c r="Z302" s="16" t="n"/>
    </row>
    <row r="303" ht="12.75" customHeight="1" s="588">
      <c r="A303" s="1" t="n"/>
      <c r="B303" s="801" t="inlineStr">
        <is>
          <t>Ingresos Financieros</t>
        </is>
      </c>
      <c r="C303" s="593" t="n"/>
      <c r="D303" s="593" t="n"/>
      <c r="E303" s="516" t="n"/>
      <c r="F303" s="532">
        <f>O199</f>
        <v/>
      </c>
      <c r="H303" s="1" t="n"/>
      <c r="I303" s="802" t="n"/>
      <c r="J303" s="593" t="n"/>
      <c r="K303" s="312">
        <f>IF(F303=0,"",(I303-F303)/F303)</f>
        <v/>
      </c>
      <c r="L303" s="1" t="n"/>
      <c r="M303" s="525" t="n"/>
      <c r="O303" s="312">
        <f>IF(I303=0,"",(M303-I303)/I303)</f>
        <v/>
      </c>
      <c r="P303" s="1" t="n"/>
      <c r="Q303" s="16" t="n"/>
      <c r="R303" s="16" t="n"/>
      <c r="S303" s="16" t="n"/>
      <c r="T303" s="16" t="n"/>
      <c r="U303" s="16" t="n"/>
      <c r="V303" s="16" t="n"/>
      <c r="W303" s="16" t="n"/>
      <c r="X303" s="16" t="n"/>
      <c r="Y303" s="16" t="n"/>
      <c r="Z303" s="16" t="n"/>
    </row>
    <row r="304" ht="12.75" customHeight="1" s="588">
      <c r="A304" s="1" t="n"/>
      <c r="B304" s="800" t="inlineStr">
        <is>
          <t>Gastos Financieros Préstamos</t>
        </is>
      </c>
      <c r="E304" s="516" t="n"/>
      <c r="F304" s="532">
        <f>O200</f>
        <v/>
      </c>
      <c r="H304" s="1" t="n"/>
      <c r="I304" s="353">
        <f>-SUM(D92:O92)-L61</f>
        <v/>
      </c>
      <c r="K304" s="312">
        <f>IF(F304=0,"",(I304-F304)/F304)</f>
        <v/>
      </c>
      <c r="L304" s="1" t="n"/>
      <c r="M304" s="353">
        <f>-SUM(D98:O98)-N61-N71</f>
        <v/>
      </c>
      <c r="O304" s="312">
        <f>IF(I304=0,"",(M304-I304)/I304)</f>
        <v/>
      </c>
      <c r="P304" s="1" t="n"/>
      <c r="Q304" s="16" t="n"/>
      <c r="R304" s="16" t="n"/>
      <c r="S304" s="16" t="n"/>
      <c r="T304" s="16" t="n"/>
      <c r="U304" s="16" t="n"/>
      <c r="V304" s="16" t="n"/>
      <c r="W304" s="16" t="n"/>
      <c r="X304" s="16" t="n"/>
      <c r="Y304" s="16" t="n"/>
      <c r="Z304" s="16" t="n"/>
    </row>
    <row r="305" ht="12.75" customHeight="1" s="588">
      <c r="A305" s="1" t="n"/>
      <c r="B305" s="800" t="inlineStr">
        <is>
          <t>Otros Gastos Financieros</t>
        </is>
      </c>
      <c r="E305" s="516" t="n"/>
      <c r="F305" s="532">
        <f>O201</f>
        <v/>
      </c>
      <c r="H305" s="1" t="n"/>
      <c r="I305" s="525" t="n"/>
      <c r="K305" s="312">
        <f>IF(F305=0,"",(I305-F305)/F305)</f>
        <v/>
      </c>
      <c r="L305" s="1" t="n"/>
      <c r="M305" s="525" t="n"/>
      <c r="O305" s="312">
        <f>IF(I305="","",(M305-I305)/I305)</f>
        <v/>
      </c>
      <c r="P305" s="1" t="n"/>
      <c r="Q305" s="16" t="n"/>
      <c r="R305" s="16" t="n"/>
      <c r="S305" s="16" t="n"/>
      <c r="T305" s="16" t="n"/>
      <c r="U305" s="16" t="n"/>
      <c r="V305" s="16" t="n"/>
      <c r="W305" s="16" t="n"/>
      <c r="X305" s="16" t="n"/>
      <c r="Y305" s="16" t="n"/>
      <c r="Z305" s="16" t="n"/>
    </row>
    <row r="306" ht="12.75" customHeight="1" s="588">
      <c r="A306" s="1" t="n"/>
      <c r="B306" s="800" t="inlineStr">
        <is>
          <t>Resultados Extraordinarios</t>
        </is>
      </c>
      <c r="E306" s="516" t="n"/>
      <c r="F306" s="532">
        <f>O202</f>
        <v/>
      </c>
      <c r="H306" s="1" t="n"/>
      <c r="I306" s="525" t="n"/>
      <c r="K306" s="312">
        <f>IF(F306=0,"",(I306-F306)/F306)</f>
        <v/>
      </c>
      <c r="L306" s="1" t="n"/>
      <c r="M306" s="525" t="n"/>
      <c r="N306" s="525" t="n"/>
      <c r="O306" s="312">
        <f>IF(I306="","",(M306-I306)/I306)</f>
        <v/>
      </c>
      <c r="P306" s="1" t="n"/>
      <c r="Q306" s="16" t="n"/>
      <c r="R306" s="16" t="n"/>
      <c r="S306" s="16" t="n"/>
      <c r="T306" s="16" t="n"/>
      <c r="U306" s="16" t="n"/>
      <c r="V306" s="16" t="n"/>
      <c r="W306" s="16" t="n"/>
      <c r="X306" s="16" t="n"/>
      <c r="Y306" s="16" t="n"/>
      <c r="Z306" s="16" t="n"/>
    </row>
    <row r="307" ht="12.75" customHeight="1" s="588">
      <c r="A307" s="1" t="n"/>
      <c r="B307" s="800" t="inlineStr">
        <is>
          <t>Subvenciones</t>
        </is>
      </c>
      <c r="E307" s="516" t="n"/>
      <c r="F307" s="532">
        <f>O203</f>
        <v/>
      </c>
      <c r="H307" s="1" t="n"/>
      <c r="I307" s="803">
        <f>F307+L56/4</f>
        <v/>
      </c>
      <c r="J307" s="598" t="n"/>
      <c r="K307" s="312">
        <f>IF(F307=0,"",(I307-F307)/F307)</f>
        <v/>
      </c>
      <c r="L307" s="1" t="n"/>
      <c r="M307" s="803">
        <f>I307+N66/4</f>
        <v/>
      </c>
      <c r="N307" s="598" t="n"/>
      <c r="O307" s="312">
        <f>IF(I307=0,"",(M307-I307)/I307)</f>
        <v/>
      </c>
      <c r="P307" s="1" t="n"/>
      <c r="Q307" s="16" t="n"/>
      <c r="R307" s="16" t="n"/>
      <c r="S307" s="16" t="n"/>
      <c r="T307" s="16" t="n"/>
      <c r="U307" s="16" t="n"/>
      <c r="V307" s="16" t="n"/>
      <c r="W307" s="16" t="n"/>
      <c r="X307" s="16" t="n"/>
      <c r="Y307" s="16" t="n"/>
      <c r="Z307" s="16" t="n"/>
    </row>
    <row r="308" ht="12.75" customHeight="1" s="588">
      <c r="A308" s="1" t="n"/>
      <c r="B308" s="797" t="inlineStr">
        <is>
          <t>Beneficio Anntes de Impuestos</t>
        </is>
      </c>
      <c r="C308" s="590" t="n"/>
      <c r="D308" s="591" t="n"/>
      <c r="E308" s="456" t="n"/>
      <c r="F308" s="747">
        <f>O205</f>
        <v/>
      </c>
      <c r="G308" s="591" t="n"/>
      <c r="H308" s="1" t="n"/>
      <c r="I308" s="747">
        <f>SUM(I302:J307)</f>
        <v/>
      </c>
      <c r="J308" s="591" t="n"/>
      <c r="K308" s="317">
        <f>IF(F308&lt;=1,"",(I308-F308)/F308)</f>
        <v/>
      </c>
      <c r="L308" s="1" t="n"/>
      <c r="M308" s="747">
        <f>SUM(M302:N307)</f>
        <v/>
      </c>
      <c r="N308" s="591" t="n"/>
      <c r="O308" s="317">
        <f>IF(I308&lt;1,"",(M308-I308)/I308)</f>
        <v/>
      </c>
      <c r="P308" s="1" t="n"/>
      <c r="Q308" s="16" t="n"/>
      <c r="R308" s="16" t="n"/>
      <c r="S308" s="16" t="n"/>
      <c r="T308" s="16" t="n"/>
      <c r="U308" s="16" t="n"/>
      <c r="V308" s="16" t="n"/>
      <c r="W308" s="16" t="n"/>
      <c r="X308" s="16" t="n"/>
      <c r="Y308" s="16" t="n"/>
      <c r="Z308" s="16" t="n"/>
    </row>
    <row r="309" ht="12.75" customHeight="1" s="588">
      <c r="A309" s="1" t="n"/>
      <c r="B309" s="797" t="inlineStr">
        <is>
          <t>Impuestos</t>
        </is>
      </c>
      <c r="C309" s="590" t="n"/>
      <c r="D309" s="591" t="n"/>
      <c r="E309" s="456" t="n"/>
      <c r="F309" s="747">
        <f>O206</f>
        <v/>
      </c>
      <c r="G309" s="591" t="n"/>
      <c r="H309" s="1" t="n"/>
      <c r="I309" s="747">
        <f>IF($D$20=15%,-7%*I284,IF($D$20="MÓDULOS",-$L$21*4,IF(I308&lt;=0,0,IF($D$20=20%,-80%*20%*I308,IF((F308+I308)&gt;0,-(F308+I308)*15%-F309,0)))))</f>
        <v/>
      </c>
      <c r="J309" s="591" t="n"/>
      <c r="K309" s="317">
        <f>IF(F309&lt;=1,"",(I309-F309)/F309)</f>
        <v/>
      </c>
      <c r="L309" s="1" t="n"/>
      <c r="M309" s="747">
        <f>IF($D$20=15%,-$D$20*M284,IF($D$20="MÓDULOS",-$L$21*4,IF(M308&lt;=0,0,IF($D$20=20%,-$D$20*M308,IF(AND(I309=0,F308+I308+M308&gt;0),-(F308+I308+M308)*$D$20,-M308*$D$20)))))</f>
        <v/>
      </c>
      <c r="N309" s="591" t="n"/>
      <c r="O309" s="317">
        <f>IF(I309=0,"",(M309-I309)/I309)</f>
        <v/>
      </c>
      <c r="P309" s="1" t="n"/>
      <c r="Q309" s="16" t="n"/>
      <c r="R309" s="16" t="n"/>
      <c r="S309" s="16" t="n"/>
      <c r="T309" s="16" t="n"/>
      <c r="U309" s="16" t="n"/>
      <c r="V309" s="16" t="n"/>
      <c r="W309" s="16" t="n"/>
      <c r="X309" s="16" t="n"/>
      <c r="Y309" s="16" t="n"/>
      <c r="Z309" s="16" t="n"/>
    </row>
    <row r="310" ht="12.75" customHeight="1" s="588">
      <c r="A310" s="1" t="n"/>
      <c r="B310" s="797" t="inlineStr">
        <is>
          <t>BENEFICIO NETO</t>
        </is>
      </c>
      <c r="C310" s="590" t="n"/>
      <c r="D310" s="591" t="n"/>
      <c r="E310" s="1" t="n"/>
      <c r="F310" s="747">
        <f>O208</f>
        <v/>
      </c>
      <c r="G310" s="591" t="n"/>
      <c r="H310" s="1" t="n"/>
      <c r="I310" s="747">
        <f>I308+I309</f>
        <v/>
      </c>
      <c r="J310" s="591" t="n"/>
      <c r="K310" s="317">
        <f>IF(F310&lt;1,"",(I310-F310)/F310)</f>
        <v/>
      </c>
      <c r="L310" s="1" t="n"/>
      <c r="M310" s="747">
        <f>M308+M309</f>
        <v/>
      </c>
      <c r="N310" s="591" t="n"/>
      <c r="O310" s="317">
        <f>IF(I310&lt;1,"",(M310-I310)/I310)</f>
        <v/>
      </c>
      <c r="P310" s="1" t="n"/>
      <c r="Q310" s="16" t="n"/>
      <c r="R310" s="16" t="n"/>
      <c r="S310" s="16" t="n"/>
      <c r="T310" s="16" t="n"/>
      <c r="U310" s="16" t="n"/>
      <c r="V310" s="16" t="n"/>
      <c r="W310" s="16" t="n"/>
      <c r="X310" s="16" t="n"/>
      <c r="Y310" s="16" t="n"/>
      <c r="Z310" s="16" t="n"/>
    </row>
    <row r="311" ht="12.75" customHeight="1" s="588">
      <c r="A311" s="1" t="n"/>
      <c r="B311" s="1" t="n"/>
      <c r="C311" s="1" t="n"/>
      <c r="D311" s="1" t="n"/>
      <c r="E311" s="1" t="n"/>
      <c r="F311" s="1" t="n"/>
      <c r="G311" s="1" t="n"/>
      <c r="H311" s="1" t="n"/>
      <c r="I311" s="1" t="n"/>
      <c r="J311" s="1" t="n"/>
      <c r="K311" s="1" t="n"/>
      <c r="L311" s="1" t="n"/>
      <c r="M311" s="1" t="n"/>
      <c r="N311" s="1" t="n"/>
      <c r="O311" s="1" t="n"/>
      <c r="P311" s="1" t="n"/>
      <c r="Q311" s="16" t="n"/>
      <c r="R311" s="16" t="n"/>
      <c r="S311" s="16" t="n"/>
      <c r="T311" s="16" t="n"/>
      <c r="U311" s="16" t="n"/>
      <c r="V311" s="16" t="n"/>
      <c r="W311" s="16" t="n"/>
      <c r="X311" s="16" t="n"/>
      <c r="Y311" s="16" t="n"/>
      <c r="Z311" s="16" t="n"/>
    </row>
    <row r="312" ht="12.75" customHeight="1" s="588">
      <c r="A312" s="1" t="n"/>
      <c r="B312" s="797" t="inlineStr">
        <is>
          <t>PUNTO DE EQUILIBRIO</t>
        </is>
      </c>
      <c r="C312" s="590" t="n"/>
      <c r="D312" s="591" t="n"/>
      <c r="E312" s="1" t="n"/>
      <c r="F312" s="747">
        <f>IF($D$20=25%,(-SUM(F287:F299)-F301-SUM(F303:F307)),(-SUM(F288:G299)-F301-SUM(F303:G307)))/($J$117-IF($D$20=15%,7%,0))+IF($D$20="MÓDULOS",$L$21*4/$J$117,0)</f>
        <v/>
      </c>
      <c r="G312" s="591" t="n"/>
      <c r="H312" s="1" t="n"/>
      <c r="I312" s="747">
        <f>IF($D$20=25%,(-SUM(I287:I299)-I301-SUM(I303:I307)),(-SUM(I288:I299)-I301-SUM(I303:I307)))/($J$117-IF($D$20=15%,7%,0))+IF($D$20="MÓDULOS",$L$21*4/$J$117,0)</f>
        <v/>
      </c>
      <c r="J312" s="591" t="n"/>
      <c r="K312" s="1" t="n"/>
      <c r="L312" s="1" t="n"/>
      <c r="M312" s="747">
        <f>IF($D$20=25%,(-SUM(M287:M299)-M301-SUM(M303:M307)),(-SUM(M288:M299)-M301-SUM(M303:M307)))/($J$117-IF($D$20=15%,15%,0))+IF($D$20="MÓDULOS",$L$21*4/$J$117,0)</f>
        <v/>
      </c>
      <c r="N312" s="591" t="n"/>
      <c r="O312" s="1" t="n"/>
      <c r="P312" s="1" t="n"/>
      <c r="Q312" s="16" t="n"/>
      <c r="R312" s="16" t="n"/>
      <c r="S312" s="16" t="n"/>
      <c r="T312" s="16" t="n"/>
      <c r="U312" s="16" t="n"/>
      <c r="V312" s="16" t="n"/>
      <c r="W312" s="16" t="n"/>
      <c r="X312" s="16" t="n"/>
      <c r="Y312" s="16" t="n"/>
      <c r="Z312" s="16" t="n"/>
    </row>
    <row r="313" ht="12.75" customHeight="1" s="588">
      <c r="A313" s="800">
        <f>IF($D$20=25%,"","Ventas para obtener las Retrib. de Empr.")</f>
        <v/>
      </c>
      <c r="E313" s="1" t="n"/>
      <c r="F313" s="532">
        <f>IF($D$20=25%,"",IF($D$20=20%,F312-(F287-F301-F307+F376)/($J$117*(100%-80%*20%)),IF($D$20=15%,F312-(F287-F301-F307+F376)/($J$117-7%),F312-(F287-F301-F307+F376)/$J$117)))</f>
        <v/>
      </c>
      <c r="H313" s="1" t="n"/>
      <c r="I313" s="532">
        <f>IF($D$20=25%,"",IF($D$20=20%,I312-(I287-I301-I307+I376)/($J$117*(100%-80%*20%)),IF($D$20=15%,I312-(I287-I301-I307+I376)/($J$117-7%),I312-(I287-I301-I307+I376)/$J$117)))</f>
        <v/>
      </c>
      <c r="K313" s="1" t="n"/>
      <c r="L313" s="1" t="n"/>
      <c r="M313" s="532">
        <f>IF($D$20=25%,"",IF($D$20=20%,M312-(M287-M301-M307+M376)/($J$117*(100%-20%)),IF($D$20=15%,M312-(M287-M301-M307+M376)/($J$117-15%),M312-(M287-M301-M307+M376)/$J$117)))</f>
        <v/>
      </c>
      <c r="O313" s="1" t="n"/>
      <c r="P313" s="1" t="n"/>
      <c r="Q313" s="16" t="n"/>
      <c r="R313" s="16" t="n"/>
      <c r="S313" s="16" t="n"/>
      <c r="T313" s="16" t="n"/>
      <c r="U313" s="16" t="n"/>
      <c r="V313" s="16" t="n"/>
      <c r="W313" s="16" t="n"/>
      <c r="X313" s="16" t="n"/>
      <c r="Y313" s="16" t="n"/>
      <c r="Z313" s="16" t="n"/>
    </row>
    <row r="314" ht="12.75" customHeight="1" s="588">
      <c r="A314" s="8" t="inlineStr">
        <is>
          <t>¿CUÁNTO Y CUÁNDO?</t>
        </is>
      </c>
      <c r="B314" s="1" t="n"/>
      <c r="C314" s="1" t="n"/>
      <c r="D314" s="1" t="n"/>
      <c r="E314" s="1" t="n"/>
      <c r="F314" s="1" t="n"/>
      <c r="G314" s="1" t="n"/>
      <c r="H314" s="1" t="n"/>
      <c r="I314" s="1" t="n"/>
      <c r="J314" s="185" t="n"/>
      <c r="K314" s="185" t="n"/>
      <c r="L314" s="1" t="n"/>
      <c r="M314" s="1" t="n"/>
      <c r="N314" s="1" t="n"/>
      <c r="O314" s="1" t="n"/>
      <c r="P314" s="185" t="inlineStr">
        <is>
          <t>Plan Financiero</t>
        </is>
      </c>
      <c r="Q314" s="16" t="n"/>
      <c r="R314" s="16" t="n"/>
      <c r="S314" s="16" t="n"/>
      <c r="T314" s="16" t="n"/>
      <c r="U314" s="16" t="n"/>
      <c r="V314" s="16" t="n"/>
      <c r="W314" s="16" t="n"/>
      <c r="X314" s="16" t="n"/>
      <c r="Y314" s="16" t="n"/>
      <c r="Z314" s="16" t="n"/>
    </row>
    <row r="315" ht="12.75" customHeight="1" s="588">
      <c r="A315" s="356" t="n"/>
      <c r="B315" s="356" t="n"/>
      <c r="C315" s="356" t="n"/>
      <c r="D315" s="356" t="n"/>
      <c r="E315" s="356" t="n"/>
      <c r="F315" s="356" t="n"/>
      <c r="G315" s="356" t="n"/>
      <c r="H315" s="356" t="n"/>
      <c r="I315" s="356" t="n"/>
      <c r="J315" s="356" t="n"/>
      <c r="K315" s="1" t="n"/>
      <c r="L315" s="1" t="n"/>
      <c r="M315" s="1" t="n"/>
      <c r="N315" s="1" t="n"/>
      <c r="O315" s="1" t="n"/>
      <c r="P315" s="1" t="n"/>
      <c r="Q315" s="16" t="n"/>
      <c r="R315" s="16" t="n"/>
      <c r="S315" s="16" t="n"/>
      <c r="T315" s="16" t="n"/>
      <c r="U315" s="16" t="n"/>
      <c r="V315" s="16" t="n"/>
      <c r="W315" s="16" t="n"/>
      <c r="X315" s="16" t="n"/>
      <c r="Y315" s="16" t="n"/>
      <c r="Z315" s="16" t="n"/>
    </row>
    <row r="316" ht="12.75" customHeight="1" s="588">
      <c r="A316" s="356" t="n"/>
      <c r="B316" s="356" t="n"/>
      <c r="C316" s="356" t="n"/>
      <c r="D316" s="356" t="n"/>
      <c r="E316" s="356" t="n"/>
      <c r="F316" s="366" t="n"/>
      <c r="G316" s="769" t="inlineStr">
        <is>
          <t>ADMINISTRACIONES PÚBLICAS 3 AÑOS</t>
        </is>
      </c>
      <c r="H316" s="649" t="n"/>
      <c r="I316" s="649" t="n"/>
      <c r="J316" s="649" t="n"/>
      <c r="K316" s="649" t="n"/>
      <c r="L316" s="369" t="n"/>
      <c r="M316" s="1" t="n"/>
      <c r="N316" s="1" t="n"/>
      <c r="O316" s="1" t="n"/>
      <c r="P316" s="1" t="n"/>
      <c r="Q316" s="16" t="n"/>
      <c r="R316" s="16" t="n"/>
      <c r="S316" s="16" t="n"/>
      <c r="T316" s="16" t="n"/>
      <c r="U316" s="16" t="n"/>
      <c r="V316" s="16" t="n"/>
      <c r="W316" s="16" t="n"/>
      <c r="X316" s="16" t="n"/>
      <c r="Y316" s="16" t="n"/>
      <c r="Z316" s="16" t="n"/>
    </row>
    <row r="317" ht="12.75" customHeight="1" s="588">
      <c r="A317" s="1" t="n"/>
      <c r="B317" s="1" t="n"/>
      <c r="C317" s="1" t="n"/>
      <c r="D317" s="1" t="n"/>
      <c r="E317" s="1" t="n"/>
      <c r="F317" s="1" t="n"/>
      <c r="G317" s="1" t="n"/>
      <c r="H317" s="1" t="n"/>
      <c r="I317" s="1" t="n"/>
      <c r="J317" s="1" t="n"/>
      <c r="K317" s="1" t="n"/>
      <c r="L317" s="1" t="n"/>
      <c r="M317" s="1" t="n"/>
      <c r="N317" s="1" t="n"/>
      <c r="O317" s="1" t="n"/>
      <c r="P317" s="770" t="n"/>
      <c r="Q317" s="16" t="n"/>
      <c r="R317" s="16" t="n"/>
      <c r="S317" s="16" t="n"/>
      <c r="T317" s="16" t="n"/>
      <c r="U317" s="16" t="n"/>
      <c r="V317" s="16" t="n"/>
      <c r="W317" s="16" t="n"/>
      <c r="X317" s="16" t="n"/>
      <c r="Y317" s="16" t="n"/>
      <c r="Z317" s="16" t="n"/>
    </row>
    <row r="318" ht="12.75" customHeight="1" s="588">
      <c r="A318" s="1" t="n"/>
      <c r="B318" s="1" t="n"/>
      <c r="C318" s="1" t="n"/>
      <c r="D318" s="1" t="n"/>
      <c r="E318" s="1" t="n"/>
      <c r="F318" s="796" t="inlineStr">
        <is>
          <t>AÑO 1</t>
        </is>
      </c>
      <c r="G318" s="591" t="n"/>
      <c r="H318" s="1" t="n"/>
      <c r="I318" s="796" t="inlineStr">
        <is>
          <t>AÑO 2</t>
        </is>
      </c>
      <c r="J318" s="590" t="n"/>
      <c r="K318" s="591" t="n"/>
      <c r="L318" s="456" t="n"/>
      <c r="M318" s="796" t="inlineStr">
        <is>
          <t>AÑO 3</t>
        </is>
      </c>
      <c r="N318" s="590" t="n"/>
      <c r="O318" s="591" t="n"/>
      <c r="Q318" s="16" t="n"/>
      <c r="R318" s="16" t="n"/>
      <c r="S318" s="16" t="n"/>
      <c r="T318" s="16" t="n"/>
      <c r="U318" s="16" t="n"/>
      <c r="V318" s="16" t="n"/>
      <c r="W318" s="16" t="n"/>
      <c r="X318" s="16" t="n"/>
      <c r="Y318" s="16" t="n"/>
      <c r="Z318" s="16" t="n"/>
    </row>
    <row r="319" ht="12.75" customHeight="1" s="588">
      <c r="A319" s="1" t="n"/>
      <c r="B319" s="1" t="n"/>
      <c r="C319" s="1" t="n"/>
      <c r="D319" s="1" t="n"/>
      <c r="E319" s="1" t="n"/>
      <c r="F319" s="456" t="n"/>
      <c r="G319" s="512" t="n"/>
      <c r="H319" s="1" t="n"/>
      <c r="I319" s="456" t="n"/>
      <c r="J319" s="512" t="n"/>
      <c r="K319" s="1" t="n"/>
      <c r="L319" s="456" t="n"/>
      <c r="M319" s="456" t="n"/>
      <c r="N319" s="512" t="n"/>
      <c r="O319" s="1" t="n"/>
      <c r="Q319" s="16" t="n"/>
      <c r="R319" s="16" t="n"/>
      <c r="S319" s="16" t="n"/>
      <c r="T319" s="16" t="n"/>
      <c r="U319" s="16" t="n"/>
      <c r="V319" s="16" t="n"/>
      <c r="W319" s="16" t="n"/>
      <c r="X319" s="16" t="n"/>
      <c r="Y319" s="16" t="n"/>
      <c r="Z319" s="16" t="n"/>
    </row>
    <row r="320" ht="13.5" customHeight="1" s="588">
      <c r="A320" s="1" t="n"/>
      <c r="B320" s="1" t="n"/>
      <c r="C320" s="1" t="n"/>
      <c r="D320" s="1" t="n"/>
      <c r="E320" s="1" t="n"/>
      <c r="F320" s="456" t="n"/>
      <c r="G320" s="512" t="n"/>
      <c r="H320" s="1" t="n"/>
      <c r="I320" s="456" t="n"/>
      <c r="J320" s="512" t="n"/>
      <c r="K320" s="771" t="inlineStr">
        <is>
          <t>A PAGAR EN AÑO 3</t>
        </is>
      </c>
      <c r="L320" s="456" t="n"/>
      <c r="M320" s="456" t="n"/>
      <c r="N320" s="512" t="n"/>
      <c r="O320" s="771" t="inlineStr">
        <is>
          <t>A PAGAR EN AÑO 4</t>
        </is>
      </c>
      <c r="Q320" s="16" t="n"/>
      <c r="R320" s="16" t="n"/>
      <c r="S320" s="16" t="n"/>
      <c r="T320" s="16" t="n"/>
      <c r="U320" s="16" t="n"/>
      <c r="V320" s="16" t="n"/>
      <c r="W320" s="16" t="n"/>
      <c r="X320" s="16" t="n"/>
      <c r="Y320" s="16" t="n"/>
      <c r="Z320" s="16" t="n"/>
    </row>
    <row r="321" ht="13.5" customHeight="1" s="588">
      <c r="A321" s="1" t="n"/>
      <c r="C321" s="455" t="n"/>
      <c r="D321" s="455" t="n"/>
      <c r="E321" s="455" t="n"/>
      <c r="F321" s="455" t="n"/>
      <c r="G321" s="455" t="n"/>
      <c r="H321" s="455" t="n"/>
      <c r="I321" s="455" t="n"/>
      <c r="J321" s="455" t="n"/>
      <c r="K321" s="712" t="n"/>
      <c r="L321" s="455" t="n"/>
      <c r="M321" s="455" t="n"/>
      <c r="N321" s="455" t="n"/>
      <c r="O321" s="712" t="n"/>
      <c r="Q321" s="16" t="n"/>
      <c r="R321" s="16" t="n"/>
      <c r="S321" s="16" t="n"/>
      <c r="T321" s="16" t="n"/>
      <c r="U321" s="16" t="n"/>
      <c r="V321" s="16" t="n"/>
      <c r="W321" s="16" t="n"/>
      <c r="X321" s="16" t="n"/>
      <c r="Y321" s="16" t="n"/>
      <c r="Z321" s="16" t="n"/>
    </row>
    <row r="322" ht="12.75" customHeight="1" s="588">
      <c r="A322" s="490" t="n"/>
      <c r="C322" s="788" t="inlineStr">
        <is>
          <t>Impuesto s/Beneficios</t>
        </is>
      </c>
      <c r="D322" s="591" t="n"/>
      <c r="E322" s="477" t="n"/>
      <c r="F322" s="742">
        <f>-F309</f>
        <v/>
      </c>
      <c r="G322" s="591" t="n"/>
      <c r="H322" s="527" t="n"/>
      <c r="I322" s="742">
        <f>-I309</f>
        <v/>
      </c>
      <c r="J322" s="591" t="n"/>
      <c r="K322" s="483">
        <f>IF($D$20=15%,0,IF($D$20=25%,-I309,-I309/4))</f>
        <v/>
      </c>
      <c r="L322" s="353" t="n"/>
      <c r="M322" s="742">
        <f>-M309</f>
        <v/>
      </c>
      <c r="N322" s="591" t="n"/>
      <c r="O322" s="483">
        <f>IF($D$20=15%,0,IF($D$20=25%,-M309,-M309/4))</f>
        <v/>
      </c>
      <c r="P322" s="528" t="n"/>
      <c r="Q322" s="16" t="n"/>
      <c r="R322" s="16" t="n"/>
      <c r="S322" s="16" t="n"/>
      <c r="T322" s="16" t="n"/>
      <c r="U322" s="16" t="n"/>
      <c r="V322" s="16" t="n"/>
      <c r="W322" s="16" t="n"/>
      <c r="X322" s="16" t="n"/>
      <c r="Y322" s="16" t="n"/>
      <c r="Z322" s="16" t="n"/>
    </row>
    <row r="323" ht="12.75" customHeight="1" s="588">
      <c r="A323" s="1" t="n"/>
      <c r="B323" s="1" t="n"/>
      <c r="C323" s="1" t="n"/>
      <c r="D323" s="1" t="n"/>
      <c r="E323" s="1" t="n"/>
      <c r="F323" s="1" t="n"/>
      <c r="G323" s="1" t="n"/>
      <c r="H323" s="1" t="n"/>
      <c r="I323" s="1" t="n"/>
      <c r="J323" s="1" t="n"/>
      <c r="K323" s="1" t="n"/>
      <c r="L323" s="1" t="n"/>
      <c r="M323" s="1" t="n"/>
      <c r="N323" s="1" t="n"/>
      <c r="O323" s="1" t="n"/>
      <c r="P323" s="1" t="n"/>
      <c r="Q323" s="16" t="n"/>
      <c r="R323" s="16" t="n"/>
      <c r="S323" s="16" t="n"/>
      <c r="T323" s="16" t="n"/>
      <c r="U323" s="16" t="n"/>
      <c r="V323" s="16" t="n"/>
      <c r="W323" s="16" t="n"/>
      <c r="X323" s="16" t="n"/>
      <c r="Y323" s="16" t="n"/>
      <c r="Z323" s="16" t="n"/>
    </row>
    <row r="324" ht="12.75" customHeight="1" s="588">
      <c r="A324" s="1" t="n"/>
      <c r="B324" s="1" t="n"/>
      <c r="C324" s="1" t="n"/>
      <c r="D324" s="1" t="n"/>
      <c r="E324" s="1" t="n"/>
      <c r="F324" s="1" t="n"/>
      <c r="G324" s="1" t="n"/>
      <c r="H324" s="1" t="n"/>
      <c r="I324" s="1" t="n"/>
      <c r="J324" s="1" t="n"/>
      <c r="K324" s="771" t="inlineStr">
        <is>
          <t>A PAGAR EN AÑO 3</t>
        </is>
      </c>
      <c r="L324" s="1" t="n"/>
      <c r="M324" s="456" t="n"/>
      <c r="N324" s="512" t="n"/>
      <c r="O324" s="771" t="inlineStr">
        <is>
          <t>A PAGAR EN AÑO 4</t>
        </is>
      </c>
      <c r="P324" s="770" t="n"/>
      <c r="Q324" s="16" t="n"/>
      <c r="R324" s="16" t="n"/>
      <c r="S324" s="16" t="n"/>
      <c r="T324" s="16" t="n"/>
      <c r="U324" s="16" t="n"/>
      <c r="V324" s="16" t="n"/>
      <c r="W324" s="16" t="n"/>
      <c r="X324" s="16" t="n"/>
      <c r="Y324" s="16" t="n"/>
      <c r="Z324" s="16" t="n"/>
    </row>
    <row r="325" ht="12.75" customHeight="1" s="588">
      <c r="A325" s="1" t="n"/>
      <c r="C325" s="455" t="n"/>
      <c r="D325" s="455" t="n"/>
      <c r="E325" s="455" t="n"/>
      <c r="F325" s="529" t="n"/>
      <c r="G325" s="529" t="n"/>
      <c r="H325" s="529" t="n"/>
      <c r="I325" s="529" t="n"/>
      <c r="J325" s="529" t="n"/>
      <c r="K325" s="712" t="n"/>
      <c r="L325" s="529" t="n"/>
      <c r="M325" s="455" t="n"/>
      <c r="N325" s="455" t="n"/>
      <c r="O325" s="712" t="n"/>
      <c r="Q325" s="16" t="n"/>
      <c r="R325" s="16" t="n"/>
      <c r="S325" s="16" t="n"/>
      <c r="T325" s="16" t="n"/>
      <c r="U325" s="16" t="n"/>
      <c r="V325" s="16" t="n"/>
      <c r="W325" s="16" t="n"/>
      <c r="X325" s="16" t="n"/>
      <c r="Y325" s="16" t="n"/>
      <c r="Z325" s="16" t="n"/>
    </row>
    <row r="326" ht="12.75" customHeight="1" s="588">
      <c r="A326" s="490" t="n"/>
      <c r="C326" s="788" t="inlineStr">
        <is>
          <t>Seguridad Social</t>
        </is>
      </c>
      <c r="D326" s="591" t="n"/>
      <c r="E326" s="530" t="n"/>
      <c r="F326" s="742">
        <f>O220</f>
        <v/>
      </c>
      <c r="G326" s="591" t="n"/>
      <c r="H326" s="527" t="n"/>
      <c r="I326" s="742">
        <f>O174+IF(C150="n/a",D148+D154+D160+D166,0)</f>
        <v/>
      </c>
      <c r="J326" s="591" t="n"/>
      <c r="K326" s="531">
        <f>O174/12</f>
        <v/>
      </c>
      <c r="L326" s="353" t="n"/>
      <c r="M326" s="742">
        <f>P174+IF(C150="n/a",E148+E154+E160+E166,0)</f>
        <v/>
      </c>
      <c r="N326" s="591" t="n"/>
      <c r="O326" s="531">
        <f>P174/12</f>
        <v/>
      </c>
      <c r="P326" s="506" t="n"/>
      <c r="Q326" s="16" t="n"/>
      <c r="R326" s="16" t="n"/>
      <c r="S326" s="16" t="n"/>
      <c r="T326" s="16" t="n"/>
      <c r="U326" s="16" t="n"/>
      <c r="V326" s="16" t="n"/>
      <c r="W326" s="16" t="n"/>
      <c r="X326" s="16" t="n"/>
      <c r="Y326" s="16" t="n"/>
      <c r="Z326" s="16" t="n"/>
    </row>
    <row r="327" ht="12.75" customHeight="1" s="588">
      <c r="A327" s="1" t="n"/>
      <c r="B327" s="1" t="n"/>
      <c r="C327" s="1" t="n"/>
      <c r="D327" s="1" t="n"/>
      <c r="E327" s="1" t="n"/>
      <c r="F327" s="1" t="n"/>
      <c r="G327" s="1" t="n"/>
      <c r="H327" s="1" t="n"/>
      <c r="I327" s="1" t="n"/>
      <c r="J327" s="1" t="n"/>
      <c r="K327" s="1" t="n"/>
      <c r="L327" s="1" t="n"/>
      <c r="M327" s="1" t="n"/>
      <c r="N327" s="1" t="n"/>
      <c r="O327" s="1" t="n"/>
      <c r="P327" s="770" t="n"/>
      <c r="Q327" s="16" t="n"/>
      <c r="R327" s="16" t="n"/>
      <c r="S327" s="16" t="n"/>
      <c r="T327" s="16" t="n"/>
      <c r="U327" s="16" t="n"/>
      <c r="V327" s="16" t="n"/>
      <c r="W327" s="16" t="n"/>
      <c r="X327" s="16" t="n"/>
      <c r="Y327" s="16" t="n"/>
      <c r="Z327" s="16" t="n"/>
    </row>
    <row r="328" ht="12.75" customHeight="1" s="588">
      <c r="A328" s="1" t="n"/>
      <c r="C328" s="455" t="n"/>
      <c r="D328" s="455" t="n"/>
      <c r="E328" s="455" t="n"/>
      <c r="F328" s="529" t="n"/>
      <c r="G328" s="529" t="n"/>
      <c r="H328" s="529" t="n"/>
      <c r="I328" s="1" t="n"/>
      <c r="J328" s="1" t="n"/>
      <c r="K328" s="771" t="inlineStr">
        <is>
          <t>A PAGAR EN AÑO 3</t>
        </is>
      </c>
      <c r="L328" s="529" t="n"/>
      <c r="M328" s="1" t="n"/>
      <c r="N328" s="1" t="n"/>
      <c r="O328" s="771" t="inlineStr">
        <is>
          <t>A PAGAR EN AÑO 4</t>
        </is>
      </c>
      <c r="Q328" s="16" t="n"/>
      <c r="R328" s="16" t="n"/>
      <c r="S328" s="16" t="n"/>
      <c r="T328" s="16" t="n"/>
      <c r="U328" s="16" t="n"/>
      <c r="V328" s="16" t="n"/>
      <c r="W328" s="16" t="n"/>
      <c r="X328" s="16" t="n"/>
      <c r="Y328" s="16" t="n"/>
      <c r="Z328" s="16" t="n"/>
    </row>
    <row r="329" ht="12.75" customHeight="1" s="588">
      <c r="A329" s="490" t="n"/>
      <c r="C329" s="490" t="n"/>
      <c r="E329" s="530" t="n"/>
      <c r="F329" s="527" t="n"/>
      <c r="G329" s="527" t="n"/>
      <c r="H329" s="527" t="n"/>
      <c r="I329" s="529" t="n"/>
      <c r="J329" s="529" t="n"/>
      <c r="K329" s="712" t="n"/>
      <c r="L329" s="527" t="n"/>
      <c r="M329" s="529" t="n"/>
      <c r="N329" s="529" t="n"/>
      <c r="O329" s="712" t="n"/>
      <c r="P329" s="506" t="n"/>
      <c r="Q329" s="16" t="n"/>
      <c r="R329" s="16" t="n"/>
      <c r="S329" s="16" t="n"/>
      <c r="T329" s="16" t="n"/>
      <c r="U329" s="16" t="n"/>
      <c r="V329" s="16" t="n"/>
      <c r="W329" s="16" t="n"/>
      <c r="X329" s="16" t="n"/>
      <c r="Y329" s="16" t="n"/>
      <c r="Z329" s="16" t="n"/>
    </row>
    <row r="330" ht="12.75" customHeight="1" s="588">
      <c r="A330" s="490" t="n"/>
      <c r="C330" s="788" t="inlineStr">
        <is>
          <t>RETENCIONES IRPF</t>
        </is>
      </c>
      <c r="D330" s="591" t="n"/>
      <c r="E330" s="530" t="n"/>
      <c r="F330" s="742">
        <f>O224</f>
        <v/>
      </c>
      <c r="G330" s="591" t="n"/>
      <c r="H330" s="527" t="n"/>
      <c r="I330" s="742">
        <f>D175+O175</f>
        <v/>
      </c>
      <c r="J330" s="591" t="n"/>
      <c r="K330" s="531">
        <f>I330/4</f>
        <v/>
      </c>
      <c r="L330" s="1" t="n"/>
      <c r="M330" s="742">
        <f>E175+P175</f>
        <v/>
      </c>
      <c r="N330" s="591" t="n"/>
      <c r="O330" s="531">
        <f>M330/4</f>
        <v/>
      </c>
      <c r="P330" s="1" t="n"/>
      <c r="Q330" s="16" t="n"/>
      <c r="R330" s="16" t="n"/>
      <c r="S330" s="16" t="n"/>
      <c r="T330" s="16" t="n"/>
      <c r="U330" s="16" t="n"/>
      <c r="V330" s="16" t="n"/>
      <c r="W330" s="16" t="n"/>
      <c r="X330" s="16" t="n"/>
      <c r="Y330" s="16" t="n"/>
      <c r="Z330" s="16" t="n"/>
    </row>
    <row r="331" ht="12.75" customHeight="1" s="588">
      <c r="A331" s="490" t="n"/>
      <c r="B331" s="490" t="n"/>
      <c r="C331" s="1" t="n"/>
      <c r="D331" s="1" t="n"/>
      <c r="E331" s="1" t="n"/>
      <c r="F331" s="1" t="n"/>
      <c r="G331" s="1" t="n"/>
      <c r="H331" s="1" t="n"/>
      <c r="I331" s="1" t="n"/>
      <c r="J331" s="1" t="n"/>
      <c r="K331" s="1" t="n"/>
      <c r="L331" s="1" t="n"/>
      <c r="M331" s="1" t="n"/>
      <c r="N331" s="1" t="n"/>
      <c r="O331" s="1" t="n"/>
      <c r="P331" s="1" t="n"/>
      <c r="Q331" s="16" t="n"/>
      <c r="R331" s="16" t="n"/>
      <c r="S331" s="16" t="n"/>
      <c r="T331" s="16" t="n"/>
      <c r="U331" s="16" t="n"/>
      <c r="V331" s="16" t="n"/>
      <c r="W331" s="16" t="n"/>
      <c r="X331" s="16" t="n"/>
      <c r="Y331" s="16" t="n"/>
      <c r="Z331" s="16" t="n"/>
    </row>
    <row r="332" ht="12.75" customHeight="1" s="588">
      <c r="A332" s="1" t="n"/>
      <c r="C332" s="455" t="n"/>
      <c r="D332" s="455" t="n"/>
      <c r="E332" s="455" t="n"/>
      <c r="F332" s="529" t="n"/>
      <c r="G332" s="529" t="n"/>
      <c r="H332" s="529" t="n"/>
      <c r="I332" s="529" t="n"/>
      <c r="J332" s="529" t="n"/>
      <c r="K332" s="529" t="n"/>
      <c r="L332" s="529" t="n"/>
      <c r="M332" s="529" t="n"/>
      <c r="N332" s="455" t="n"/>
      <c r="O332" s="83" t="n"/>
      <c r="P332" s="770" t="n"/>
      <c r="Q332" s="16" t="n"/>
      <c r="R332" s="16" t="n"/>
      <c r="S332" s="16" t="n"/>
      <c r="T332" s="16" t="n"/>
      <c r="U332" s="16" t="n"/>
      <c r="V332" s="16" t="n"/>
      <c r="W332" s="16" t="n"/>
      <c r="X332" s="16" t="n"/>
      <c r="Y332" s="16" t="n"/>
      <c r="Z332" s="16" t="n"/>
    </row>
    <row r="333" ht="12.75" customHeight="1" s="588">
      <c r="A333" s="490" t="n"/>
      <c r="C333" s="788" t="inlineStr">
        <is>
          <t>IVA</t>
        </is>
      </c>
      <c r="D333" s="591" t="n"/>
      <c r="E333" s="455" t="n"/>
      <c r="F333" s="529" t="n"/>
      <c r="G333" s="529" t="n"/>
      <c r="H333" s="529" t="n"/>
      <c r="I333" s="529" t="n"/>
      <c r="J333" s="529" t="n"/>
      <c r="K333" s="529" t="n"/>
      <c r="L333" s="529" t="n"/>
      <c r="M333" s="529" t="n"/>
      <c r="N333" s="455" t="n"/>
      <c r="O333" s="83" t="n"/>
      <c r="Q333" s="16" t="n"/>
      <c r="R333" s="16" t="n"/>
      <c r="S333" s="16" t="n"/>
      <c r="T333" s="16" t="n"/>
      <c r="U333" s="16" t="n"/>
      <c r="V333" s="16" t="n"/>
      <c r="W333" s="16" t="n"/>
      <c r="X333" s="16" t="n"/>
      <c r="Y333" s="16" t="n"/>
      <c r="Z333" s="16" t="n"/>
    </row>
    <row r="334" ht="13.5" customHeight="1" s="588">
      <c r="A334" s="791" t="n"/>
      <c r="C334" s="790" t="inlineStr">
        <is>
          <t>De Inversiones</t>
        </is>
      </c>
      <c r="D334" s="593" t="n"/>
      <c r="E334" s="229" t="n"/>
      <c r="F334" s="532">
        <f>O229</f>
        <v/>
      </c>
      <c r="H334" s="229" t="n"/>
      <c r="I334" s="532">
        <f>IF($G$13=0%,0,-$G$15*L53)</f>
        <v/>
      </c>
      <c r="K334" s="229" t="n"/>
      <c r="L334" s="229" t="n"/>
      <c r="M334" s="532">
        <f>IF($G$13=0%,0,-$G$15*N63)</f>
        <v/>
      </c>
      <c r="O334" s="358" t="n"/>
      <c r="P334" s="1" t="n"/>
      <c r="Q334" s="16" t="n"/>
      <c r="R334" s="16" t="n"/>
      <c r="S334" s="16" t="n"/>
      <c r="T334" s="16" t="n"/>
      <c r="U334" s="16" t="n"/>
      <c r="V334" s="16" t="n"/>
      <c r="W334" s="16" t="n"/>
      <c r="X334" s="16" t="n"/>
      <c r="Y334" s="16" t="n"/>
      <c r="Z334" s="16" t="n"/>
    </row>
    <row r="335" ht="12.75" customHeight="1" s="588">
      <c r="A335" s="791" t="n"/>
      <c r="C335" s="791" t="inlineStr">
        <is>
          <t>Repercutido</t>
        </is>
      </c>
      <c r="E335" s="492" t="n"/>
      <c r="F335" s="532">
        <f>O230</f>
        <v/>
      </c>
      <c r="H335" s="532" t="n"/>
      <c r="I335" s="532">
        <f>IF(G13=0%,0,G13*I284)</f>
        <v/>
      </c>
      <c r="K335" s="771" t="inlineStr">
        <is>
          <t>A PAGAR EN AÑO 3</t>
        </is>
      </c>
      <c r="L335" s="532" t="n"/>
      <c r="M335" s="532">
        <f>IF(G13=0%,0,G13*M284)</f>
        <v/>
      </c>
      <c r="O335" s="771" t="inlineStr">
        <is>
          <t>A PAGAR EN AÑO 4</t>
        </is>
      </c>
      <c r="P335" s="1" t="n"/>
      <c r="Q335" s="16" t="n"/>
      <c r="R335" s="16" t="n"/>
      <c r="S335" s="16" t="n"/>
      <c r="T335" s="16" t="n"/>
      <c r="U335" s="16" t="n"/>
      <c r="V335" s="16" t="n"/>
      <c r="W335" s="16" t="n"/>
      <c r="X335" s="16" t="n"/>
      <c r="Y335" s="16" t="n"/>
      <c r="Z335" s="16" t="n"/>
    </row>
    <row r="336" ht="12.75" customHeight="1" s="588">
      <c r="A336" s="791" t="n"/>
      <c r="C336" s="791" t="inlineStr">
        <is>
          <t>Soportado</t>
        </is>
      </c>
      <c r="E336" s="492" t="n"/>
      <c r="F336" s="532">
        <f>O231</f>
        <v/>
      </c>
      <c r="H336" s="532" t="n"/>
      <c r="I336" s="532">
        <f>IF(G13=0%,0,-$G$11*I346+$G$15*SUM(I291:J298)+IF(C150="n/a",0,$G$15*I287))</f>
        <v/>
      </c>
      <c r="K336" s="712" t="n"/>
      <c r="L336" s="532" t="n"/>
      <c r="M336" s="532">
        <f>IF(G13=0%,0,-$G$11*L346+$G$15*SUM(M291:M298)+IF(C150="n/a",0,$G$15*M287))</f>
        <v/>
      </c>
      <c r="O336" s="712" t="n"/>
      <c r="P336" s="509" t="n"/>
      <c r="Q336" s="16" t="n"/>
      <c r="R336" s="16" t="n"/>
      <c r="S336" s="16" t="n"/>
      <c r="T336" s="16" t="n"/>
      <c r="U336" s="16" t="n"/>
      <c r="V336" s="16" t="n"/>
      <c r="W336" s="16" t="n"/>
      <c r="X336" s="16" t="n"/>
      <c r="Y336" s="16" t="n"/>
      <c r="Z336" s="16" t="n"/>
    </row>
    <row r="337" ht="12.75" customHeight="1" s="588">
      <c r="A337" s="490" t="n"/>
      <c r="C337" s="788" t="inlineStr">
        <is>
          <t>LIQUIDACIONES</t>
        </is>
      </c>
      <c r="D337" s="591" t="n"/>
      <c r="E337" s="358" t="n"/>
      <c r="F337" s="742">
        <f>O233</f>
        <v/>
      </c>
      <c r="G337" s="591" t="n"/>
      <c r="H337" s="353" t="n"/>
      <c r="I337" s="742">
        <f>I334+I335+I336</f>
        <v/>
      </c>
      <c r="J337" s="591" t="n"/>
      <c r="K337" s="531">
        <f>IF(I335+I336&lt;=0,I334+I335+I336,(I335+I336)/4)</f>
        <v/>
      </c>
      <c r="L337" s="1" t="n"/>
      <c r="M337" s="742">
        <f>M334+M335+M336</f>
        <v/>
      </c>
      <c r="N337" s="591" t="n"/>
      <c r="O337" s="531">
        <f>IF(M335+M336&lt;=0,M334,(M335+M336)/4)</f>
        <v/>
      </c>
      <c r="P337" s="358" t="n"/>
      <c r="Q337" s="16" t="n"/>
      <c r="R337" s="16" t="n"/>
      <c r="S337" s="16" t="n"/>
      <c r="T337" s="16" t="n"/>
      <c r="U337" s="16" t="n"/>
      <c r="V337" s="16" t="n"/>
      <c r="W337" s="16" t="n"/>
      <c r="X337" s="16" t="n"/>
      <c r="Y337" s="16" t="n"/>
      <c r="Z337" s="16" t="n"/>
    </row>
    <row r="338" ht="12.75" customHeight="1" s="588">
      <c r="A338" s="490" t="n"/>
      <c r="B338" s="490" t="n"/>
      <c r="C338" s="490" t="n"/>
      <c r="D338" s="490" t="n"/>
      <c r="E338" s="358" t="n"/>
      <c r="F338" s="353" t="n"/>
      <c r="G338" s="353" t="n"/>
      <c r="H338" s="353" t="n"/>
      <c r="I338" s="353" t="n"/>
      <c r="J338" s="353" t="n"/>
      <c r="K338" s="533" t="n"/>
      <c r="L338" s="1" t="n"/>
      <c r="M338" s="353" t="n"/>
      <c r="N338" s="353" t="n"/>
      <c r="O338" s="533" t="n"/>
      <c r="P338" s="358" t="n"/>
      <c r="Q338" s="16" t="n"/>
      <c r="R338" s="16" t="n"/>
      <c r="S338" s="16" t="n"/>
      <c r="T338" s="16" t="n"/>
      <c r="U338" s="16" t="n"/>
      <c r="V338" s="16" t="n"/>
      <c r="W338" s="16" t="n"/>
      <c r="X338" s="16" t="n"/>
      <c r="Y338" s="16" t="n"/>
      <c r="Z338" s="16" t="n"/>
    </row>
    <row r="339" ht="12.75" customHeight="1" s="588">
      <c r="A339" s="490" t="n"/>
      <c r="B339" s="490" t="n"/>
      <c r="C339" s="490" t="n"/>
      <c r="D339" s="490" t="n"/>
      <c r="E339" s="358" t="n"/>
      <c r="F339" s="353" t="n"/>
      <c r="G339" s="353" t="n"/>
      <c r="H339" s="353" t="n"/>
      <c r="I339" s="353" t="n"/>
      <c r="J339" s="353" t="n"/>
      <c r="K339" s="533" t="n"/>
      <c r="L339" s="1" t="n"/>
      <c r="M339" s="353" t="n"/>
      <c r="N339" s="353" t="n"/>
      <c r="O339" s="533" t="n"/>
      <c r="P339" s="358" t="n"/>
      <c r="Q339" s="16" t="n"/>
      <c r="R339" s="16" t="n"/>
      <c r="S339" s="16" t="n"/>
      <c r="T339" s="16" t="n"/>
      <c r="U339" s="16" t="n"/>
      <c r="V339" s="16" t="n"/>
      <c r="W339" s="16" t="n"/>
      <c r="X339" s="16" t="n"/>
      <c r="Y339" s="16" t="n"/>
      <c r="Z339" s="16" t="n"/>
    </row>
    <row r="340" ht="12.75" customHeight="1" s="588">
      <c r="A340" s="1" t="n"/>
      <c r="B340" s="1" t="n"/>
      <c r="C340" s="1" t="n"/>
      <c r="D340" s="1" t="n"/>
      <c r="E340" s="1" t="n"/>
      <c r="F340" s="1" t="n"/>
      <c r="G340" s="1" t="n"/>
      <c r="H340" s="1" t="n"/>
      <c r="I340" s="1" t="n"/>
      <c r="J340" s="1" t="n"/>
      <c r="K340" s="1" t="n"/>
      <c r="L340" s="1" t="n"/>
      <c r="M340" s="1" t="n"/>
      <c r="N340" s="1" t="n"/>
      <c r="O340" s="1" t="n"/>
      <c r="P340" s="1" t="n"/>
      <c r="Q340" s="16" t="n"/>
      <c r="R340" s="16" t="n"/>
      <c r="S340" s="16" t="n"/>
      <c r="T340" s="16" t="n"/>
      <c r="U340" s="16" t="n"/>
      <c r="V340" s="16" t="n"/>
      <c r="W340" s="16" t="n"/>
      <c r="X340" s="16" t="n"/>
      <c r="Y340" s="16" t="n"/>
      <c r="Z340" s="16" t="n"/>
    </row>
    <row r="341" ht="12.75" customHeight="1" s="588">
      <c r="A341" s="1" t="n"/>
      <c r="B341" s="1" t="n"/>
      <c r="C341" s="1" t="n"/>
      <c r="D341" s="1" t="n"/>
      <c r="E341" s="1" t="n"/>
      <c r="F341" s="366" t="n"/>
      <c r="G341" s="769" t="inlineStr">
        <is>
          <t>EXISTENCIAS 3 AÑOS</t>
        </is>
      </c>
      <c r="H341" s="649" t="n"/>
      <c r="I341" s="649" t="n"/>
      <c r="J341" s="649" t="n"/>
      <c r="K341" s="649" t="n"/>
      <c r="L341" s="369" t="n"/>
      <c r="M341" s="1" t="n"/>
      <c r="N341" s="1" t="n"/>
      <c r="O341" s="1" t="n"/>
      <c r="P341" s="1" t="n"/>
      <c r="Q341" s="16" t="n"/>
      <c r="R341" s="16" t="n"/>
      <c r="S341" s="16" t="n"/>
      <c r="T341" s="16" t="n"/>
      <c r="U341" s="16" t="n"/>
      <c r="V341" s="16" t="n"/>
      <c r="W341" s="16" t="n"/>
      <c r="X341" s="16" t="n"/>
      <c r="Y341" s="16" t="n"/>
      <c r="Z341" s="16" t="n"/>
    </row>
    <row r="342" ht="12.75" customHeight="1" s="588">
      <c r="A342" s="1" t="n"/>
      <c r="B342" s="1" t="n"/>
      <c r="C342" s="1" t="n"/>
      <c r="D342" s="1" t="n"/>
      <c r="E342" s="1" t="n"/>
      <c r="F342" s="1" t="n"/>
      <c r="G342" s="1" t="n"/>
      <c r="H342" s="1" t="n"/>
      <c r="I342" s="1" t="n"/>
      <c r="J342" s="1" t="n"/>
      <c r="K342" s="1" t="n"/>
      <c r="L342" s="1" t="n"/>
      <c r="M342" s="1" t="n"/>
      <c r="N342" s="1" t="n"/>
      <c r="O342" s="1" t="n"/>
      <c r="P342" s="1" t="n"/>
      <c r="Q342" s="16" t="n"/>
      <c r="R342" s="16" t="n"/>
      <c r="S342" s="16" t="n"/>
      <c r="T342" s="16" t="n"/>
      <c r="U342" s="16" t="n"/>
      <c r="V342" s="16" t="n"/>
      <c r="W342" s="16" t="n"/>
      <c r="X342" s="16" t="n"/>
      <c r="Y342" s="16" t="n"/>
      <c r="Z342" s="16" t="n"/>
    </row>
    <row r="343" ht="12.75" customHeight="1" s="588">
      <c r="A343" s="1" t="n"/>
      <c r="B343" s="1" t="n"/>
      <c r="C343" s="788" t="inlineStr">
        <is>
          <t>ALMACÉN</t>
        </is>
      </c>
      <c r="D343" s="591" t="n"/>
      <c r="E343" s="1" t="n"/>
      <c r="F343" s="796" t="inlineStr">
        <is>
          <t>AÑO 1</t>
        </is>
      </c>
      <c r="G343" s="591" t="n"/>
      <c r="H343" s="1" t="n"/>
      <c r="I343" s="796" t="inlineStr">
        <is>
          <t>AÑO 2</t>
        </is>
      </c>
      <c r="J343" s="591" t="n"/>
      <c r="K343" s="1" t="n"/>
      <c r="L343" s="796" t="inlineStr">
        <is>
          <t>AÑO 3</t>
        </is>
      </c>
      <c r="M343" s="591" t="n"/>
      <c r="N343" s="1" t="n"/>
      <c r="O343" s="1" t="n"/>
      <c r="P343" s="1" t="n"/>
      <c r="Q343" s="16" t="n"/>
      <c r="R343" s="16" t="n"/>
      <c r="S343" s="16" t="n"/>
      <c r="T343" s="16" t="n"/>
      <c r="U343" s="16" t="n"/>
      <c r="V343" s="16" t="n"/>
      <c r="W343" s="16" t="n"/>
      <c r="X343" s="16" t="n"/>
      <c r="Y343" s="16" t="n"/>
      <c r="Z343" s="16" t="n"/>
    </row>
    <row r="344" ht="12.75" customHeight="1" s="588">
      <c r="A344" s="1" t="n"/>
      <c r="B344" s="1" t="n"/>
      <c r="C344" s="791" t="inlineStr">
        <is>
          <t>Valor Inicial</t>
        </is>
      </c>
      <c r="E344" s="1" t="n"/>
      <c r="F344" s="804">
        <f>O239</f>
        <v/>
      </c>
      <c r="G344" s="593" t="n"/>
      <c r="H344" s="1" t="n"/>
      <c r="I344" s="804">
        <f>F347</f>
        <v/>
      </c>
      <c r="J344" s="593" t="n"/>
      <c r="K344" s="1" t="n"/>
      <c r="L344" s="804">
        <f>I347</f>
        <v/>
      </c>
      <c r="M344" s="593" t="n"/>
      <c r="N344" s="1" t="n"/>
      <c r="O344" s="1" t="n"/>
      <c r="P344" s="1" t="n"/>
      <c r="Q344" s="16" t="n"/>
      <c r="R344" s="16" t="n"/>
      <c r="S344" s="16" t="n"/>
      <c r="T344" s="16" t="n"/>
      <c r="U344" s="16" t="n"/>
      <c r="V344" s="16" t="n"/>
      <c r="W344" s="16" t="n"/>
      <c r="X344" s="16" t="n"/>
      <c r="Y344" s="16" t="n"/>
      <c r="Z344" s="16" t="n"/>
    </row>
    <row r="345" ht="12.75" customHeight="1" s="588">
      <c r="A345" s="490" t="n"/>
      <c r="C345" s="791" t="inlineStr">
        <is>
          <t>Coste de Ventas</t>
        </is>
      </c>
      <c r="E345" s="455" t="n"/>
      <c r="F345" s="353">
        <f>O240</f>
        <v/>
      </c>
      <c r="H345" s="455" t="n"/>
      <c r="I345" s="353">
        <f>I285</f>
        <v/>
      </c>
      <c r="K345" s="455" t="n"/>
      <c r="L345" s="353">
        <f>M285</f>
        <v/>
      </c>
      <c r="N345" s="455" t="n"/>
      <c r="O345" s="83" t="n"/>
      <c r="P345" s="1" t="n"/>
      <c r="Q345" s="16" t="n"/>
      <c r="R345" s="16" t="n"/>
      <c r="S345" s="16" t="n"/>
      <c r="T345" s="16" t="n"/>
      <c r="U345" s="16" t="n"/>
      <c r="V345" s="16" t="n"/>
      <c r="W345" s="16" t="n"/>
      <c r="X345" s="16" t="n"/>
      <c r="Y345" s="16" t="n"/>
      <c r="Z345" s="16" t="n"/>
    </row>
    <row r="346" ht="12.75" customHeight="1" s="588">
      <c r="A346" s="490" t="n"/>
      <c r="C346" s="791" t="inlineStr">
        <is>
          <t>Compras</t>
        </is>
      </c>
      <c r="E346" s="358" t="n"/>
      <c r="F346" s="353">
        <f>O241</f>
        <v/>
      </c>
      <c r="H346" s="358" t="n"/>
      <c r="I346" s="738">
        <f>-I345</f>
        <v/>
      </c>
      <c r="K346" s="358" t="n"/>
      <c r="L346" s="738">
        <f>-L345</f>
        <v/>
      </c>
      <c r="N346" s="358" t="n"/>
      <c r="O346" s="358" t="n"/>
      <c r="P346" s="1" t="n"/>
      <c r="Q346" s="16" t="n"/>
      <c r="R346" s="16" t="n"/>
      <c r="S346" s="16" t="n"/>
      <c r="T346" s="16" t="n"/>
      <c r="U346" s="16" t="n"/>
      <c r="V346" s="16" t="n"/>
      <c r="W346" s="16" t="n"/>
      <c r="X346" s="16" t="n"/>
      <c r="Y346" s="16" t="n"/>
      <c r="Z346" s="16" t="n"/>
    </row>
    <row r="347" ht="12.75" customHeight="1" s="588">
      <c r="A347" s="490" t="n"/>
      <c r="C347" s="788" t="inlineStr">
        <is>
          <t>VALOR FINAL</t>
        </is>
      </c>
      <c r="D347" s="591" t="n"/>
      <c r="E347" s="358" t="n"/>
      <c r="F347" s="742">
        <f>SUM(F344:G346)</f>
        <v/>
      </c>
      <c r="G347" s="591" t="n"/>
      <c r="H347" s="358" t="n"/>
      <c r="I347" s="742">
        <f>SUM(I344:J346)</f>
        <v/>
      </c>
      <c r="J347" s="591" t="n"/>
      <c r="K347" s="358" t="n"/>
      <c r="L347" s="742">
        <f>SUM(L344:M346)</f>
        <v/>
      </c>
      <c r="M347" s="591" t="n"/>
      <c r="N347" s="358" t="n"/>
      <c r="O347" s="358" t="n"/>
      <c r="P347" s="1" t="n"/>
      <c r="Q347" s="16" t="n"/>
      <c r="R347" s="16" t="n"/>
      <c r="S347" s="16" t="n"/>
      <c r="T347" s="16" t="n"/>
      <c r="U347" s="16" t="n"/>
      <c r="V347" s="16" t="n"/>
      <c r="W347" s="16" t="n"/>
      <c r="X347" s="16" t="n"/>
      <c r="Y347" s="16" t="n"/>
      <c r="Z347" s="16" t="n"/>
    </row>
    <row r="348" ht="12.75" customHeight="1" s="588">
      <c r="A348" s="490" t="n"/>
      <c r="C348" s="490" t="n"/>
      <c r="E348" s="358" t="n"/>
      <c r="F348" s="358" t="n"/>
      <c r="G348" s="358" t="n"/>
      <c r="H348" s="358" t="n"/>
      <c r="I348" s="358" t="n"/>
      <c r="J348" s="358" t="n"/>
      <c r="K348" s="358" t="n"/>
      <c r="L348" s="358" t="n"/>
      <c r="M348" s="358" t="n"/>
      <c r="N348" s="358" t="n"/>
      <c r="O348" s="358" t="n"/>
      <c r="P348" s="1" t="n"/>
      <c r="Q348" s="16" t="n"/>
      <c r="R348" s="16" t="n"/>
      <c r="S348" s="16" t="n"/>
      <c r="T348" s="16" t="n"/>
      <c r="U348" s="16" t="n"/>
      <c r="V348" s="16" t="n"/>
      <c r="W348" s="16" t="n"/>
      <c r="X348" s="16" t="n"/>
      <c r="Y348" s="16" t="n"/>
      <c r="Z348" s="16" t="n"/>
    </row>
    <row r="349" ht="12.75" customHeight="1" s="588">
      <c r="A349" s="8" t="inlineStr">
        <is>
          <t>¿CUÁNTO Y CUÁNDO?</t>
        </is>
      </c>
      <c r="B349" s="1" t="n"/>
      <c r="C349" s="1" t="n"/>
      <c r="D349" s="1" t="n"/>
      <c r="E349" s="1" t="n"/>
      <c r="F349" s="1" t="n"/>
      <c r="G349" s="1" t="n"/>
      <c r="H349" s="1" t="n"/>
      <c r="I349" s="1" t="n"/>
      <c r="J349" s="185" t="n"/>
      <c r="K349" s="185" t="n"/>
      <c r="L349" s="1" t="n"/>
      <c r="M349" s="1" t="n"/>
      <c r="N349" s="1" t="n"/>
      <c r="O349" s="1" t="n"/>
      <c r="P349" s="185" t="inlineStr">
        <is>
          <t>Plan Financiero</t>
        </is>
      </c>
      <c r="Q349" s="16" t="n"/>
      <c r="R349" s="16" t="n"/>
      <c r="S349" s="16" t="n"/>
      <c r="T349" s="16" t="n"/>
      <c r="U349" s="16" t="n"/>
      <c r="V349" s="16" t="n"/>
      <c r="W349" s="16" t="n"/>
      <c r="X349" s="16" t="n"/>
      <c r="Y349" s="16" t="n"/>
      <c r="Z349" s="16" t="n"/>
    </row>
    <row r="350" ht="12.75" customHeight="1" s="588">
      <c r="A350" s="1" t="n"/>
      <c r="B350" s="1" t="n"/>
      <c r="C350" s="1" t="n"/>
      <c r="D350" s="1" t="n"/>
      <c r="E350" s="1" t="n"/>
      <c r="F350" s="768" t="inlineStr">
        <is>
          <t>TESORERÍA 3 AÑOS</t>
        </is>
      </c>
      <c r="G350" s="649" t="n"/>
      <c r="H350" s="649" t="n"/>
      <c r="I350" s="649" t="n"/>
      <c r="J350" s="649" t="n"/>
      <c r="K350" s="647" t="n"/>
      <c r="L350" s="1" t="n"/>
      <c r="M350" s="1" t="n"/>
      <c r="N350" s="1" t="n"/>
      <c r="O350" s="1" t="n"/>
      <c r="P350" s="1" t="n"/>
      <c r="Q350" s="16" t="n"/>
      <c r="R350" s="16" t="n"/>
      <c r="S350" s="16" t="n"/>
      <c r="T350" s="16" t="n"/>
      <c r="U350" s="16" t="n"/>
      <c r="V350" s="16" t="n"/>
      <c r="W350" s="16" t="n"/>
      <c r="X350" s="16" t="n"/>
      <c r="Y350" s="16" t="n"/>
      <c r="Z350" s="16" t="n"/>
    </row>
    <row r="351" ht="12.75" customHeight="1" s="588">
      <c r="A351" s="1" t="n"/>
      <c r="B351" s="1" t="n"/>
      <c r="C351" s="1" t="n"/>
      <c r="D351" s="1" t="n"/>
      <c r="E351" s="1" t="n"/>
      <c r="F351" s="169" t="n"/>
      <c r="G351" s="1" t="n"/>
      <c r="H351" s="1" t="n"/>
      <c r="I351" s="1" t="n"/>
      <c r="J351" s="1" t="n"/>
      <c r="K351" s="1" t="n"/>
      <c r="L351" s="18" t="n"/>
      <c r="M351" s="1" t="n"/>
      <c r="N351" s="1" t="n"/>
      <c r="O351" s="1" t="n"/>
      <c r="P351" s="1" t="n"/>
      <c r="Q351" s="16" t="n"/>
      <c r="R351" s="16" t="n"/>
      <c r="S351" s="16" t="n"/>
      <c r="T351" s="16" t="n"/>
      <c r="U351" s="16" t="n"/>
      <c r="V351" s="16" t="n"/>
      <c r="W351" s="16" t="n"/>
      <c r="X351" s="16" t="n"/>
      <c r="Y351" s="16" t="n"/>
      <c r="Z351" s="16" t="n"/>
    </row>
    <row r="352" ht="12.75" customHeight="1" s="588">
      <c r="A352" s="1" t="n"/>
      <c r="B352" s="1" t="n"/>
      <c r="C352" s="1" t="n"/>
      <c r="D352" s="1" t="n"/>
      <c r="E352" s="456" t="n"/>
      <c r="F352" s="796" t="inlineStr">
        <is>
          <t>AÑO 1</t>
        </is>
      </c>
      <c r="G352" s="591" t="n"/>
      <c r="H352" s="1" t="n"/>
      <c r="I352" s="796" t="inlineStr">
        <is>
          <t>AÑO 2</t>
        </is>
      </c>
      <c r="J352" s="591" t="n"/>
      <c r="K352" s="511" t="inlineStr">
        <is>
          <t>D</t>
        </is>
      </c>
      <c r="L352" s="1" t="n"/>
      <c r="M352" s="796" t="inlineStr">
        <is>
          <t>AÑO 3</t>
        </is>
      </c>
      <c r="N352" s="591" t="n"/>
      <c r="O352" s="511" t="inlineStr">
        <is>
          <t>D</t>
        </is>
      </c>
      <c r="P352" s="1" t="n"/>
      <c r="Q352" s="16" t="n"/>
      <c r="R352" s="16" t="n"/>
      <c r="S352" s="16" t="n"/>
      <c r="T352" s="16" t="n"/>
      <c r="U352" s="16" t="n"/>
      <c r="V352" s="16" t="n"/>
      <c r="W352" s="16" t="n"/>
      <c r="X352" s="16" t="n"/>
      <c r="Y352" s="16" t="n"/>
      <c r="Z352" s="16" t="n"/>
    </row>
    <row r="353" ht="12.75" customHeight="1" s="588">
      <c r="A353" s="1" t="n"/>
      <c r="B353" s="1" t="n"/>
      <c r="C353" s="1" t="n"/>
      <c r="D353" s="1" t="n"/>
      <c r="E353" s="1" t="n"/>
      <c r="F353" s="1" t="n"/>
      <c r="G353" s="1" t="n"/>
      <c r="H353" s="1" t="n"/>
      <c r="I353" s="1" t="n"/>
      <c r="J353" s="1" t="n"/>
      <c r="K353" s="1" t="n"/>
      <c r="L353" s="1" t="n"/>
      <c r="M353" s="1" t="n"/>
      <c r="N353" s="1" t="n"/>
      <c r="O353" s="1" t="n"/>
      <c r="P353" s="1" t="n"/>
      <c r="Q353" s="16" t="n"/>
      <c r="R353" s="16" t="n"/>
      <c r="S353" s="16" t="n"/>
      <c r="T353" s="16" t="n"/>
      <c r="U353" s="16" t="n"/>
      <c r="V353" s="16" t="n"/>
      <c r="W353" s="16" t="n"/>
      <c r="X353" s="16" t="n"/>
      <c r="Y353" s="16" t="n"/>
      <c r="Z353" s="16" t="n"/>
    </row>
    <row r="354" ht="12.75" customHeight="1" s="588">
      <c r="A354" s="1" t="n"/>
      <c r="B354" s="797" t="inlineStr">
        <is>
          <t>SALDO INICIAL</t>
        </is>
      </c>
      <c r="C354" s="590" t="n"/>
      <c r="D354" s="591" t="n"/>
      <c r="E354" s="456" t="n"/>
      <c r="F354" s="747">
        <f>O249</f>
        <v/>
      </c>
      <c r="G354" s="591" t="n"/>
      <c r="H354" s="1" t="n"/>
      <c r="I354" s="747">
        <f>F380</f>
        <v/>
      </c>
      <c r="J354" s="591" t="n"/>
      <c r="K354" s="317">
        <f>(I354-F354)/F354</f>
        <v/>
      </c>
      <c r="L354" s="1" t="n"/>
      <c r="M354" s="747">
        <f>I380</f>
        <v/>
      </c>
      <c r="N354" s="591" t="n"/>
      <c r="O354" s="317">
        <f>(M354-I354)/I354</f>
        <v/>
      </c>
      <c r="P354" s="1" t="n"/>
      <c r="Q354" s="16" t="n"/>
      <c r="R354" s="16" t="n"/>
      <c r="S354" s="16" t="n"/>
      <c r="T354" s="16" t="n"/>
      <c r="U354" s="16" t="n"/>
      <c r="V354" s="16" t="n"/>
      <c r="W354" s="16" t="n"/>
      <c r="X354" s="16" t="n"/>
      <c r="Y354" s="16" t="n"/>
      <c r="Z354" s="16" t="n"/>
    </row>
    <row r="355" ht="12.75" customHeight="1" s="588">
      <c r="A355" s="1" t="n"/>
      <c r="B355" s="529" t="inlineStr">
        <is>
          <t>Subvenciones</t>
        </is>
      </c>
      <c r="E355" s="456" t="n"/>
      <c r="F355" s="532" t="n"/>
      <c r="H355" s="1" t="n"/>
      <c r="I355" s="532">
        <f>L56</f>
        <v/>
      </c>
      <c r="K355" s="312" t="n"/>
      <c r="L355" s="1" t="n"/>
      <c r="M355" s="532">
        <f>N66</f>
        <v/>
      </c>
      <c r="O355" s="312" t="n"/>
      <c r="P355" s="1" t="n"/>
      <c r="Q355" s="16" t="n"/>
      <c r="R355" s="16" t="n"/>
      <c r="S355" s="16" t="n"/>
      <c r="T355" s="16" t="n"/>
      <c r="U355" s="16" t="n"/>
      <c r="V355" s="16" t="n"/>
      <c r="W355" s="16" t="n"/>
      <c r="X355" s="16" t="n"/>
      <c r="Y355" s="16" t="n"/>
      <c r="Z355" s="16" t="n"/>
    </row>
    <row r="356" ht="12.75" customHeight="1" s="588">
      <c r="A356" s="1" t="n"/>
      <c r="B356" s="529" t="inlineStr">
        <is>
          <t>Fianciación externa Inversiones</t>
        </is>
      </c>
      <c r="E356" s="456" t="n"/>
      <c r="F356" s="532" t="n"/>
      <c r="H356" s="1" t="n"/>
      <c r="I356" s="532">
        <f>L57</f>
        <v/>
      </c>
      <c r="K356" s="312" t="n"/>
      <c r="L356" s="1" t="n"/>
      <c r="M356" s="532">
        <f>N67</f>
        <v/>
      </c>
      <c r="O356" s="312" t="n"/>
      <c r="P356" s="1" t="n"/>
      <c r="Q356" s="16" t="n"/>
      <c r="R356" s="16" t="n"/>
      <c r="S356" s="16" t="n"/>
      <c r="T356" s="16" t="n"/>
      <c r="U356" s="16" t="n"/>
      <c r="V356" s="16" t="n"/>
      <c r="W356" s="16" t="n"/>
      <c r="X356" s="16" t="n"/>
      <c r="Y356" s="16" t="n"/>
      <c r="Z356" s="16" t="n"/>
    </row>
    <row r="357" ht="12.75" customHeight="1" s="588">
      <c r="A357" s="1" t="n"/>
      <c r="B357" s="529" t="inlineStr">
        <is>
          <t>Cobro de las Ventas</t>
        </is>
      </c>
      <c r="E357" s="516" t="n"/>
      <c r="F357" s="805">
        <f>O250</f>
        <v/>
      </c>
      <c r="G357" s="598" t="n"/>
      <c r="H357" s="1" t="n"/>
      <c r="I357" s="805">
        <f>F390+IF($C$245=3,O128-L128-M128-N128,IF($C$245=2,O128-M128-N128,IF($C$245=1,O128-N128,O128)))*(100%+$G$13)</f>
        <v/>
      </c>
      <c r="J357" s="598" t="n"/>
      <c r="K357" s="312">
        <f>(I357-F357)/F357</f>
        <v/>
      </c>
      <c r="L357" s="1" t="n"/>
      <c r="M357" s="805">
        <f>I390+IF($C$245=3,O132-L132-M132-N132,IF($C$245=2,O132-M132-N132,IF($C$245=1,O132-N132,O132)))*(100%+$G$13)</f>
        <v/>
      </c>
      <c r="N357" s="598" t="n"/>
      <c r="O357" s="312">
        <f>(M357-I357)/I357</f>
        <v/>
      </c>
      <c r="P357" s="1" t="n"/>
      <c r="Q357" s="16" t="n"/>
      <c r="R357" s="16" t="n"/>
      <c r="S357" s="16" t="n"/>
      <c r="T357" s="16" t="n"/>
      <c r="U357" s="16" t="n"/>
      <c r="V357" s="16" t="n"/>
      <c r="W357" s="16" t="n"/>
      <c r="X357" s="16" t="n"/>
      <c r="Y357" s="16" t="n"/>
      <c r="Z357" s="16" t="n"/>
    </row>
    <row r="358" ht="12.75" customHeight="1" s="588">
      <c r="A358" s="1" t="n"/>
      <c r="B358" s="797" t="inlineStr">
        <is>
          <t>TOTAL ENTRADAS</t>
        </is>
      </c>
      <c r="C358" s="590" t="n"/>
      <c r="D358" s="591" t="n"/>
      <c r="E358" s="456" t="n"/>
      <c r="F358" s="747">
        <f>O251</f>
        <v/>
      </c>
      <c r="G358" s="591" t="n"/>
      <c r="H358" s="1" t="n"/>
      <c r="I358" s="747">
        <f>SUM(I355:J357)</f>
        <v/>
      </c>
      <c r="J358" s="591" t="n"/>
      <c r="K358" s="317">
        <f>(I358-F358)/F358</f>
        <v/>
      </c>
      <c r="L358" s="1" t="n"/>
      <c r="M358" s="747">
        <f>SUM(M355:N357)</f>
        <v/>
      </c>
      <c r="N358" s="591" t="n"/>
      <c r="O358" s="317">
        <f>(M358-I358)/I358</f>
        <v/>
      </c>
      <c r="P358" s="1" t="n"/>
      <c r="Q358" s="16" t="n"/>
      <c r="R358" s="16" t="n"/>
      <c r="S358" s="16" t="n"/>
      <c r="T358" s="16" t="n"/>
      <c r="U358" s="16" t="n"/>
      <c r="V358" s="16" t="n"/>
      <c r="W358" s="16" t="n"/>
      <c r="X358" s="16" t="n"/>
      <c r="Y358" s="16" t="n"/>
      <c r="Z358" s="16" t="n"/>
    </row>
    <row r="359" ht="12.75" customHeight="1" s="588">
      <c r="A359" s="1" t="n"/>
      <c r="B359" s="72" t="inlineStr">
        <is>
          <t>Pago de las Compras</t>
        </is>
      </c>
      <c r="E359" s="516" t="n"/>
      <c r="F359" s="806">
        <f>O252</f>
        <v/>
      </c>
      <c r="H359" s="1" t="n"/>
      <c r="I359" s="806">
        <f>-F408-IF($G$13&gt;0%,(100%+$G$11),1)*(IF($P$245=0,I346,I346*(12-$P$245)/12))</f>
        <v/>
      </c>
      <c r="K359" s="312">
        <f>(I359-F359)/F359</f>
        <v/>
      </c>
      <c r="L359" s="1" t="n"/>
      <c r="M359" s="806">
        <f>-I408-IF($G$13&gt;0%,(100%+$G$11),1)*(IF($P$245=0,L346,L346*(12-$P$245)/12))</f>
        <v/>
      </c>
      <c r="O359" s="312">
        <f>(M359-I359)/I359</f>
        <v/>
      </c>
      <c r="P359" s="1" t="n"/>
      <c r="Q359" s="16" t="n"/>
      <c r="R359" s="16" t="n"/>
      <c r="S359" s="16" t="n"/>
      <c r="T359" s="16" t="n"/>
      <c r="U359" s="16" t="n"/>
      <c r="V359" s="16" t="n"/>
      <c r="W359" s="16" t="n"/>
      <c r="X359" s="16" t="n"/>
      <c r="Y359" s="16" t="n"/>
      <c r="Z359" s="16" t="n"/>
    </row>
    <row r="360" ht="12.75" customHeight="1" s="588">
      <c r="A360" s="1" t="n"/>
      <c r="B360" s="72">
        <f>B287</f>
        <v/>
      </c>
      <c r="E360" s="516" t="n"/>
      <c r="F360" s="806">
        <f>O253</f>
        <v/>
      </c>
      <c r="H360" s="1" t="n"/>
      <c r="I360" s="527">
        <f>IF($D$20&lt;&gt;25%,-D172,IF($G$13&lt;&gt;0,-(100%+$G$15-C150)*D174,-(D174-D175)))</f>
        <v/>
      </c>
      <c r="K360" s="312">
        <f>IF(F360=0,"",(I360-F360)/F360)</f>
        <v/>
      </c>
      <c r="L360" s="1" t="n"/>
      <c r="M360" s="527">
        <f>IF($D$20&lt;&gt;25%,-E172,IF($G$13&lt;&gt;0,-(100%+$G$15-C150)*E174,-(E174-E175)))</f>
        <v/>
      </c>
      <c r="O360" s="312">
        <f>IF(I360=0,"",(M360-I360)/I360)</f>
        <v/>
      </c>
      <c r="P360" s="1" t="n"/>
      <c r="Q360" s="16" t="n"/>
      <c r="R360" s="16" t="n"/>
      <c r="S360" s="16" t="n"/>
      <c r="T360" s="16" t="n"/>
      <c r="U360" s="16" t="n"/>
      <c r="V360" s="16" t="n"/>
      <c r="W360" s="16" t="n"/>
      <c r="X360" s="16" t="n"/>
      <c r="Y360" s="16" t="n"/>
      <c r="Z360" s="16" t="n"/>
    </row>
    <row r="361" ht="12.75" customHeight="1" s="588">
      <c r="A361" s="1" t="n"/>
      <c r="B361" s="72" t="inlineStr">
        <is>
          <t>Nóminas</t>
        </is>
      </c>
      <c r="E361" s="516" t="n"/>
      <c r="F361" s="806">
        <f>O254</f>
        <v/>
      </c>
      <c r="H361" s="1" t="n"/>
      <c r="I361" s="527">
        <f>-O173</f>
        <v/>
      </c>
      <c r="K361" s="312">
        <f>IF(F361=0,"",(I361-F361)/F361)</f>
        <v/>
      </c>
      <c r="L361" s="1" t="n"/>
      <c r="M361" s="527">
        <f>-P173</f>
        <v/>
      </c>
      <c r="O361" s="312">
        <f>IF(I361=0,"",(M361-I361)/I361)</f>
        <v/>
      </c>
      <c r="P361" s="1" t="n"/>
      <c r="Q361" s="16" t="n"/>
      <c r="R361" s="16" t="n"/>
      <c r="S361" s="16" t="n"/>
      <c r="T361" s="16" t="n"/>
      <c r="U361" s="16" t="n"/>
      <c r="V361" s="16" t="n"/>
      <c r="W361" s="16" t="n"/>
      <c r="X361" s="16" t="n"/>
      <c r="Y361" s="16" t="n"/>
      <c r="Z361" s="16" t="n"/>
    </row>
    <row r="362" ht="12.75" customHeight="1" s="588">
      <c r="A362" s="1" t="n"/>
      <c r="B362" s="800">
        <f>B289</f>
        <v/>
      </c>
      <c r="E362" s="516" t="n"/>
      <c r="F362" s="806">
        <f>O255</f>
        <v/>
      </c>
      <c r="H362" s="1" t="n"/>
      <c r="I362" s="527">
        <f>I289</f>
        <v/>
      </c>
      <c r="K362" s="312">
        <f>IF(F362=0,"",(I362-F362)/F362)</f>
        <v/>
      </c>
      <c r="L362" s="1" t="n"/>
      <c r="M362" s="527">
        <f>M289</f>
        <v/>
      </c>
      <c r="O362" s="312">
        <f>IF(I362=0,"",(M362-I362)/I362)</f>
        <v/>
      </c>
      <c r="P362" s="1" t="n"/>
      <c r="Q362" s="16" t="n"/>
      <c r="R362" s="16" t="n"/>
      <c r="S362" s="16" t="n"/>
      <c r="T362" s="16" t="n"/>
      <c r="U362" s="16" t="n"/>
      <c r="V362" s="16" t="n"/>
      <c r="W362" s="16" t="n"/>
      <c r="X362" s="16" t="n"/>
      <c r="Y362" s="16" t="n"/>
      <c r="Z362" s="16" t="n"/>
    </row>
    <row r="363" ht="12.75" customHeight="1" s="588">
      <c r="A363" s="1" t="n"/>
      <c r="B363" s="800">
        <f>B290</f>
        <v/>
      </c>
      <c r="E363" s="516" t="n"/>
      <c r="F363" s="806">
        <f>O256</f>
        <v/>
      </c>
      <c r="H363" s="1" t="n"/>
      <c r="I363" s="527">
        <f>I290</f>
        <v/>
      </c>
      <c r="K363" s="312">
        <f>IF(F363=0,"",(I363-F363)/F363)</f>
        <v/>
      </c>
      <c r="L363" s="1" t="n"/>
      <c r="M363" s="527">
        <f>M290</f>
        <v/>
      </c>
      <c r="O363" s="312">
        <f>IF(I363=0,"",(M363-I363)/I363)</f>
        <v/>
      </c>
      <c r="P363" s="1" t="n"/>
      <c r="Q363" s="16" t="n"/>
      <c r="R363" s="16" t="n"/>
      <c r="S363" s="16" t="n"/>
      <c r="T363" s="16" t="n"/>
      <c r="U363" s="16" t="n"/>
      <c r="V363" s="16" t="n"/>
      <c r="W363" s="16" t="n"/>
      <c r="X363" s="16" t="n"/>
      <c r="Y363" s="16" t="n"/>
      <c r="Z363" s="16" t="n"/>
    </row>
    <row r="364" ht="12.75" customHeight="1" s="588">
      <c r="A364" s="1" t="n"/>
      <c r="B364" s="800">
        <f>B291</f>
        <v/>
      </c>
      <c r="E364" s="516" t="n"/>
      <c r="F364" s="806">
        <f>O257</f>
        <v/>
      </c>
      <c r="H364" s="1" t="n"/>
      <c r="I364" s="527">
        <f>IF($G$13=0%,I291,(100%+$G$15)*I291)</f>
        <v/>
      </c>
      <c r="K364" s="312">
        <f>IF(F364=0,"",(I364-F364)/F364)</f>
        <v/>
      </c>
      <c r="L364" s="1" t="n"/>
      <c r="M364" s="527">
        <f>IF($G$13=0%,M291,(100%+$G$15)*M291)</f>
        <v/>
      </c>
      <c r="O364" s="312">
        <f>IF(I364=0,"",(M364-I364)/I364)</f>
        <v/>
      </c>
      <c r="P364" s="1" t="n"/>
      <c r="Q364" s="16" t="n"/>
      <c r="R364" s="16" t="n"/>
      <c r="S364" s="16" t="n"/>
      <c r="T364" s="16" t="n"/>
      <c r="U364" s="16" t="n"/>
      <c r="V364" s="16" t="n"/>
      <c r="W364" s="16" t="n"/>
      <c r="X364" s="16" t="n"/>
      <c r="Y364" s="16" t="n"/>
      <c r="Z364" s="16" t="n"/>
    </row>
    <row r="365" ht="12.75" customHeight="1" s="588">
      <c r="A365" s="1" t="n"/>
      <c r="B365" s="800">
        <f>B292</f>
        <v/>
      </c>
      <c r="E365" s="516" t="n"/>
      <c r="F365" s="806">
        <f>O258</f>
        <v/>
      </c>
      <c r="H365" s="1" t="n"/>
      <c r="I365" s="527">
        <f>IF($G$13=0%,I292,(100%+$G$15)*I292)</f>
        <v/>
      </c>
      <c r="K365" s="312">
        <f>IF(F365=0,"",(I365-F365)/F365)</f>
        <v/>
      </c>
      <c r="L365" s="1" t="n"/>
      <c r="M365" s="527">
        <f>IF($G$13=0%,M292,(100%+$G$15)*M292)</f>
        <v/>
      </c>
      <c r="O365" s="312">
        <f>IF(I365=0,"",(M365-I365)/I365)</f>
        <v/>
      </c>
      <c r="P365" s="1" t="n"/>
      <c r="Q365" s="16" t="n"/>
      <c r="R365" s="16" t="n"/>
      <c r="S365" s="16" t="n"/>
      <c r="T365" s="16" t="n"/>
      <c r="U365" s="16" t="n"/>
      <c r="V365" s="16" t="n"/>
      <c r="W365" s="16" t="n"/>
      <c r="X365" s="16" t="n"/>
      <c r="Y365" s="16" t="n"/>
      <c r="Z365" s="16" t="n"/>
    </row>
    <row r="366" ht="12.75" customHeight="1" s="588">
      <c r="A366" s="1" t="n"/>
      <c r="B366" s="800">
        <f>B293</f>
        <v/>
      </c>
      <c r="E366" s="516" t="n"/>
      <c r="F366" s="806">
        <f>O259</f>
        <v/>
      </c>
      <c r="H366" s="1" t="n"/>
      <c r="I366" s="527">
        <f>IF($G$13=0%,I293,(100%+$G$15)*I293)</f>
        <v/>
      </c>
      <c r="K366" s="312">
        <f>IF(F366=0,"",(I366-F366)/F366)</f>
        <v/>
      </c>
      <c r="L366" s="1" t="n"/>
      <c r="M366" s="527">
        <f>IF($G$13=0%,M293,(100%+$G$15)*M293)</f>
        <v/>
      </c>
      <c r="O366" s="312">
        <f>IF(I366=0,"",(M366-I366)/I366)</f>
        <v/>
      </c>
      <c r="P366" s="1" t="n"/>
      <c r="Q366" s="16" t="n"/>
      <c r="R366" s="16" t="n"/>
      <c r="S366" s="16" t="n"/>
      <c r="T366" s="16" t="n"/>
      <c r="U366" s="16" t="n"/>
      <c r="V366" s="16" t="n"/>
      <c r="W366" s="16" t="n"/>
      <c r="X366" s="16" t="n"/>
      <c r="Y366" s="16" t="n"/>
      <c r="Z366" s="16" t="n"/>
    </row>
    <row r="367" ht="12.75" customHeight="1" s="588">
      <c r="A367" s="1" t="n"/>
      <c r="B367" s="800">
        <f>B294</f>
        <v/>
      </c>
      <c r="E367" s="516" t="n"/>
      <c r="F367" s="806">
        <f>O260</f>
        <v/>
      </c>
      <c r="H367" s="1" t="n"/>
      <c r="I367" s="527">
        <f>IF($G$13=0%,I294,(100%+$G$15)*I294)</f>
        <v/>
      </c>
      <c r="K367" s="312">
        <f>IF(F367=0,"",(I367-F367)/F367)</f>
        <v/>
      </c>
      <c r="L367" s="1" t="n"/>
      <c r="M367" s="527">
        <f>IF($G$13=0%,M294,(100%+$G$15)*M294)</f>
        <v/>
      </c>
      <c r="O367" s="312">
        <f>IF(I367=0,"",(M367-I367)/I367)</f>
        <v/>
      </c>
      <c r="P367" s="1" t="n"/>
      <c r="Q367" s="16" t="n"/>
      <c r="R367" s="16" t="n"/>
      <c r="S367" s="16" t="n"/>
      <c r="T367" s="16" t="n"/>
      <c r="U367" s="16" t="n"/>
      <c r="V367" s="16" t="n"/>
      <c r="W367" s="16" t="n"/>
      <c r="X367" s="16" t="n"/>
      <c r="Y367" s="16" t="n"/>
      <c r="Z367" s="16" t="n"/>
    </row>
    <row r="368" ht="12.75" customHeight="1" s="588">
      <c r="A368" s="1" t="n"/>
      <c r="B368" s="800">
        <f>B295</f>
        <v/>
      </c>
      <c r="E368" s="516" t="n"/>
      <c r="F368" s="806">
        <f>O261</f>
        <v/>
      </c>
      <c r="H368" s="1" t="n"/>
      <c r="I368" s="527">
        <f>IF($G$13=0%,I295,(100%+$G$15)*I295)</f>
        <v/>
      </c>
      <c r="K368" s="312">
        <f>IF(F368=0,"",(I368-F368)/F368)</f>
        <v/>
      </c>
      <c r="L368" s="1" t="n"/>
      <c r="M368" s="527">
        <f>IF($G$13=0%,M295,(100%+$G$15)*M295)</f>
        <v/>
      </c>
      <c r="O368" s="312">
        <f>IF(I368=0,"",(M368-I368)/I368)</f>
        <v/>
      </c>
      <c r="P368" s="1" t="n"/>
      <c r="Q368" s="16" t="n"/>
      <c r="R368" s="16" t="n"/>
      <c r="S368" s="16" t="n"/>
      <c r="T368" s="16" t="n"/>
      <c r="U368" s="16" t="n"/>
      <c r="V368" s="16" t="n"/>
      <c r="W368" s="16" t="n"/>
      <c r="X368" s="16" t="n"/>
      <c r="Y368" s="16" t="n"/>
      <c r="Z368" s="16" t="n"/>
    </row>
    <row r="369" ht="12.75" customHeight="1" s="588">
      <c r="A369" s="1" t="n"/>
      <c r="B369" s="800">
        <f>B296</f>
        <v/>
      </c>
      <c r="E369" s="516" t="n"/>
      <c r="F369" s="806">
        <f>O262</f>
        <v/>
      </c>
      <c r="H369" s="1" t="n"/>
      <c r="I369" s="527">
        <f>IF($G$13=0%,I296,(100%+$G$15)*I296)</f>
        <v/>
      </c>
      <c r="K369" s="312">
        <f>IF(F369=0,"",(I369-F369)/F369)</f>
        <v/>
      </c>
      <c r="L369" s="1" t="n"/>
      <c r="M369" s="527">
        <f>IF($G$13=0%,M296,(100%+$G$15)*M296)</f>
        <v/>
      </c>
      <c r="O369" s="312">
        <f>IF(I369=0,"",(M369-I369)/I369)</f>
        <v/>
      </c>
      <c r="P369" s="1" t="n"/>
      <c r="Q369" s="16" t="n"/>
      <c r="R369" s="16" t="n"/>
      <c r="S369" s="16" t="n"/>
      <c r="T369" s="16" t="n"/>
      <c r="U369" s="16" t="n"/>
      <c r="V369" s="16" t="n"/>
      <c r="W369" s="16" t="n"/>
      <c r="X369" s="16" t="n"/>
      <c r="Y369" s="16" t="n"/>
      <c r="Z369" s="16" t="n"/>
    </row>
    <row r="370" ht="12.75" customHeight="1" s="588">
      <c r="A370" s="1" t="n"/>
      <c r="B370" s="800">
        <f>B297</f>
        <v/>
      </c>
      <c r="E370" s="516" t="n"/>
      <c r="F370" s="806">
        <f>O263</f>
        <v/>
      </c>
      <c r="H370" s="1" t="n"/>
      <c r="I370" s="527">
        <f>IF($G$13=0%,I297,(100%+$G$15)*I297)</f>
        <v/>
      </c>
      <c r="K370" s="312">
        <f>IF(F370=0,"",(I370-F370)/F370)</f>
        <v/>
      </c>
      <c r="L370" s="1" t="n"/>
      <c r="M370" s="527">
        <f>IF($G$13=0%,M297,(100%+$G$15)*M297)</f>
        <v/>
      </c>
      <c r="O370" s="312">
        <f>IF(I370=0,"",(M370-I370)/I370)</f>
        <v/>
      </c>
      <c r="P370" s="1" t="n"/>
      <c r="Q370" s="16" t="n"/>
      <c r="R370" s="16" t="n"/>
      <c r="S370" s="16" t="n"/>
      <c r="T370" s="16" t="n"/>
      <c r="U370" s="16" t="n"/>
      <c r="V370" s="16" t="n"/>
      <c r="W370" s="16" t="n"/>
      <c r="X370" s="16" t="n"/>
      <c r="Y370" s="16" t="n"/>
      <c r="Z370" s="16" t="n"/>
    </row>
    <row r="371" ht="12.75" customHeight="1" s="588">
      <c r="A371" s="1" t="n"/>
      <c r="B371" s="800">
        <f>B298</f>
        <v/>
      </c>
      <c r="E371" s="516" t="n"/>
      <c r="F371" s="806">
        <f>O264</f>
        <v/>
      </c>
      <c r="H371" s="1" t="n"/>
      <c r="I371" s="527">
        <f>IF($G$13=0%,I298,(100%+$G$15)*I298)</f>
        <v/>
      </c>
      <c r="K371" s="312">
        <f>IF(F371=0,"",(I371-F371)/F371)</f>
        <v/>
      </c>
      <c r="L371" s="1" t="n"/>
      <c r="M371" s="527">
        <f>IF($G$13=0%,M298,(100%+$G$15)*M298)</f>
        <v/>
      </c>
      <c r="O371" s="312">
        <f>IF(I371=0,"",(M371-I371)/I371)</f>
        <v/>
      </c>
      <c r="P371" s="1" t="n"/>
      <c r="Q371" s="16" t="n"/>
      <c r="R371" s="16" t="n"/>
      <c r="S371" s="16" t="n"/>
      <c r="T371" s="16" t="n"/>
      <c r="U371" s="16" t="n"/>
      <c r="V371" s="16" t="n"/>
      <c r="W371" s="16" t="n"/>
      <c r="X371" s="16" t="n"/>
      <c r="Y371" s="16" t="n"/>
      <c r="Z371" s="16" t="n"/>
    </row>
    <row r="372" ht="12.75" customHeight="1" s="588">
      <c r="A372" s="1" t="n"/>
      <c r="B372" s="800" t="inlineStr">
        <is>
          <t>Ingresos Financieros</t>
        </is>
      </c>
      <c r="E372" s="456" t="n"/>
      <c r="F372" s="806">
        <f>O265</f>
        <v/>
      </c>
      <c r="H372" s="1" t="n"/>
      <c r="I372" s="527">
        <f>I303</f>
        <v/>
      </c>
      <c r="K372" s="312">
        <f>IF(F372=0,"",(I372-F372)/F372)</f>
        <v/>
      </c>
      <c r="L372" s="1" t="n"/>
      <c r="M372" s="527">
        <f>M303</f>
        <v/>
      </c>
      <c r="O372" s="312">
        <f>IF(I372=0,"",(M372-I372)/I372)</f>
        <v/>
      </c>
      <c r="P372" s="1" t="n"/>
      <c r="Q372" s="16" t="n"/>
      <c r="R372" s="16" t="n"/>
      <c r="S372" s="16" t="n"/>
      <c r="T372" s="16" t="n"/>
      <c r="U372" s="16" t="n"/>
      <c r="V372" s="16" t="n"/>
      <c r="W372" s="16" t="n"/>
      <c r="X372" s="16" t="n"/>
      <c r="Y372" s="16" t="n"/>
      <c r="Z372" s="16" t="n"/>
    </row>
    <row r="373" ht="12.75" customHeight="1" s="588">
      <c r="A373" s="1" t="n"/>
      <c r="B373" s="800" t="inlineStr">
        <is>
          <t>Gastos Financieros Préstamos</t>
        </is>
      </c>
      <c r="E373" s="516" t="n"/>
      <c r="F373" s="806">
        <f>O266</f>
        <v/>
      </c>
      <c r="H373" s="1" t="n"/>
      <c r="I373" s="527">
        <f>I304</f>
        <v/>
      </c>
      <c r="K373" s="312">
        <f>IF(F373=0,"",(I373-F373)/F373)</f>
        <v/>
      </c>
      <c r="L373" s="1" t="n"/>
      <c r="M373" s="527">
        <f>M304</f>
        <v/>
      </c>
      <c r="O373" s="312">
        <f>IF(I373=0,"",(M373-I373)/I373)</f>
        <v/>
      </c>
      <c r="P373" s="1" t="n"/>
      <c r="Q373" s="16" t="n"/>
      <c r="R373" s="16" t="n"/>
      <c r="S373" s="16" t="n"/>
      <c r="T373" s="16" t="n"/>
      <c r="U373" s="16" t="n"/>
      <c r="V373" s="16" t="n"/>
      <c r="W373" s="16" t="n"/>
      <c r="X373" s="16" t="n"/>
      <c r="Y373" s="16" t="n"/>
      <c r="Z373" s="16" t="n"/>
    </row>
    <row r="374" ht="12.75" customHeight="1" s="588">
      <c r="A374" s="1" t="n"/>
      <c r="B374" s="800" t="inlineStr">
        <is>
          <t>Otros Gastos Financieros</t>
        </is>
      </c>
      <c r="E374" s="456" t="n"/>
      <c r="F374" s="806">
        <f>O267</f>
        <v/>
      </c>
      <c r="H374" s="1" t="n"/>
      <c r="I374" s="527">
        <f>I305</f>
        <v/>
      </c>
      <c r="K374" s="312">
        <f>IF(F374=0,"",(I374-F374)/F374)</f>
        <v/>
      </c>
      <c r="L374" s="1" t="n"/>
      <c r="M374" s="527">
        <f>M305</f>
        <v/>
      </c>
      <c r="O374" s="312">
        <f>IF(I374=0,"",(M374-I374)/I374)</f>
        <v/>
      </c>
      <c r="P374" s="1" t="n"/>
      <c r="Q374" s="16" t="n"/>
      <c r="R374" s="16" t="n"/>
      <c r="S374" s="16" t="n"/>
      <c r="T374" s="16" t="n"/>
      <c r="U374" s="16" t="n"/>
      <c r="V374" s="16" t="n"/>
      <c r="W374" s="16" t="n"/>
      <c r="X374" s="16" t="n"/>
      <c r="Y374" s="16" t="n"/>
      <c r="Z374" s="16" t="n"/>
    </row>
    <row r="375" ht="12.75" customHeight="1" s="588">
      <c r="A375" s="1" t="n"/>
      <c r="B375" s="800" t="inlineStr">
        <is>
          <t>Resultados Extraordinarios</t>
        </is>
      </c>
      <c r="E375" s="516" t="n"/>
      <c r="F375" s="806">
        <f>O268</f>
        <v/>
      </c>
      <c r="H375" s="1" t="n"/>
      <c r="I375" s="527">
        <f>I306</f>
        <v/>
      </c>
      <c r="K375" s="312">
        <f>IF(F375=0,"",(I375-F375)/F375)</f>
        <v/>
      </c>
      <c r="L375" s="1" t="n"/>
      <c r="M375" s="527">
        <f>M306</f>
        <v/>
      </c>
      <c r="O375" s="312">
        <f>IF(I375=0,"",(M375-I375)/I375)</f>
        <v/>
      </c>
      <c r="P375" s="1" t="n"/>
      <c r="Q375" s="16" t="n"/>
      <c r="R375" s="16" t="n"/>
      <c r="S375" s="16" t="n"/>
      <c r="T375" s="16" t="n"/>
      <c r="U375" s="16" t="n"/>
      <c r="V375" s="16" t="n"/>
      <c r="W375" s="16" t="n"/>
      <c r="X375" s="16" t="n"/>
      <c r="Y375" s="16" t="n"/>
      <c r="Z375" s="16" t="n"/>
    </row>
    <row r="376" ht="12.75" customHeight="1" s="588">
      <c r="A376" s="1" t="n"/>
      <c r="B376" s="800" t="inlineStr">
        <is>
          <t>Devolución Capital Préstamos</t>
        </is>
      </c>
      <c r="E376" s="516" t="n"/>
      <c r="F376" s="806">
        <f>O269</f>
        <v/>
      </c>
      <c r="H376" s="1" t="n"/>
      <c r="I376" s="527">
        <f>-SUM(D93:O93)-(L57-L62)</f>
        <v/>
      </c>
      <c r="K376" s="312">
        <f>IF(F376=0,"",(I376-F376)/F376)</f>
        <v/>
      </c>
      <c r="L376" s="1" t="n"/>
      <c r="M376" s="527">
        <f>-SUM(D99:O99)-(L62-N62)-(N67-N72)</f>
        <v/>
      </c>
      <c r="O376" s="312">
        <f>IF(I376=0,"",(M376-I376)/I376)</f>
        <v/>
      </c>
      <c r="P376" s="1" t="n"/>
      <c r="Q376" s="16" t="n"/>
      <c r="R376" s="16" t="n"/>
      <c r="S376" s="16" t="n"/>
      <c r="T376" s="16" t="n"/>
      <c r="U376" s="16" t="n"/>
      <c r="V376" s="16" t="n"/>
      <c r="W376" s="16" t="n"/>
      <c r="X376" s="16" t="n"/>
      <c r="Y376" s="16" t="n"/>
      <c r="Z376" s="16" t="n"/>
    </row>
    <row r="377" ht="12.75" customHeight="1" s="588">
      <c r="A377" s="1" t="n"/>
      <c r="B377" s="800" t="inlineStr">
        <is>
          <t>Otros Pagos por Inversiones</t>
        </is>
      </c>
      <c r="E377" s="516" t="n"/>
      <c r="F377" s="806">
        <f>O270</f>
        <v/>
      </c>
      <c r="H377" s="1" t="n"/>
      <c r="I377" s="807">
        <f>IF($G$13=0%,-L53,-L53*1.21)</f>
        <v/>
      </c>
      <c r="K377" s="312">
        <f>IF(F377=0,"",(I377-F377)/F377)</f>
        <v/>
      </c>
      <c r="L377" s="1" t="n"/>
      <c r="M377" s="808">
        <f>IF($G$13=0%,-N63,-N63*1.21)</f>
        <v/>
      </c>
      <c r="N377" s="598" t="n"/>
      <c r="O377" s="312">
        <f>IF(I377=0,"",(M377-I377)/I377)</f>
        <v/>
      </c>
      <c r="P377" s="1" t="n"/>
      <c r="Q377" s="16" t="n"/>
      <c r="R377" s="16" t="n"/>
      <c r="S377" s="16" t="n"/>
      <c r="T377" s="16" t="n"/>
      <c r="U377" s="16" t="n"/>
      <c r="V377" s="16" t="n"/>
      <c r="W377" s="16" t="n"/>
      <c r="X377" s="16" t="n"/>
      <c r="Y377" s="16" t="n"/>
      <c r="Z377" s="16" t="n"/>
    </row>
    <row r="378" ht="12.75" customHeight="1" s="588">
      <c r="A378" s="1" t="n"/>
      <c r="B378" s="797" t="inlineStr">
        <is>
          <t>TOTAL SALIDAS</t>
        </is>
      </c>
      <c r="C378" s="590" t="n"/>
      <c r="D378" s="591" t="n"/>
      <c r="E378" s="456" t="n"/>
      <c r="F378" s="809">
        <f>O271</f>
        <v/>
      </c>
      <c r="G378" s="591" t="n"/>
      <c r="H378" s="1" t="n"/>
      <c r="I378" s="809">
        <f>SUM(I359:I377)</f>
        <v/>
      </c>
      <c r="J378" s="591" t="n"/>
      <c r="K378" s="317">
        <f>IF(F378=0,"",(I378-F378)/F378)</f>
        <v/>
      </c>
      <c r="L378" s="1" t="n"/>
      <c r="M378" s="809">
        <f>SUM(M359:M377)</f>
        <v/>
      </c>
      <c r="N378" s="591" t="n"/>
      <c r="O378" s="317">
        <f>IF(I378=0,"",(M378-I378)/I378)</f>
        <v/>
      </c>
      <c r="P378" s="1" t="n"/>
      <c r="Q378" s="16" t="n"/>
      <c r="R378" s="16" t="n"/>
      <c r="S378" s="16" t="n"/>
      <c r="T378" s="16" t="n"/>
      <c r="U378" s="16" t="n"/>
      <c r="V378" s="16" t="n"/>
      <c r="W378" s="16" t="n"/>
      <c r="X378" s="16" t="n"/>
      <c r="Y378" s="16" t="n"/>
      <c r="Z378" s="16" t="n"/>
    </row>
    <row r="379" ht="12.75" customHeight="1" s="588">
      <c r="A379" s="1" t="n"/>
      <c r="B379" s="797" t="inlineStr">
        <is>
          <t>Administraciones Públicas</t>
        </is>
      </c>
      <c r="C379" s="590" t="n"/>
      <c r="D379" s="591" t="n"/>
      <c r="E379" s="1" t="n"/>
      <c r="F379" s="809">
        <f>O276</f>
        <v/>
      </c>
      <c r="G379" s="591" t="n"/>
      <c r="H379" s="1" t="n"/>
      <c r="I379" s="809">
        <f>-(P216+P220+P224+P233+I322-K322+I326-K326+I330-K330+I337-K337)</f>
        <v/>
      </c>
      <c r="J379" s="591" t="n"/>
      <c r="K379" s="317">
        <f>IF(F379=0,"",(I379-F379)/F379)</f>
        <v/>
      </c>
      <c r="L379" s="1" t="n"/>
      <c r="M379" s="809">
        <f>-(K322+K326+K330+K337+M322-O322+M326-O326+M330-O330+M337-O337)</f>
        <v/>
      </c>
      <c r="N379" s="591" t="n"/>
      <c r="O379" s="317">
        <f>IF(I379=0,"",(M379-I379)/I379)</f>
        <v/>
      </c>
      <c r="P379" s="1" t="n"/>
      <c r="Q379" s="16" t="n"/>
      <c r="R379" s="16" t="n"/>
      <c r="S379" s="16" t="n"/>
      <c r="T379" s="16" t="n"/>
      <c r="U379" s="16" t="n"/>
      <c r="V379" s="16" t="n"/>
      <c r="W379" s="16" t="n"/>
      <c r="X379" s="16" t="n"/>
      <c r="Y379" s="16" t="n"/>
      <c r="Z379" s="16" t="n"/>
    </row>
    <row r="380" ht="12.75" customHeight="1" s="588">
      <c r="A380" s="1" t="n"/>
      <c r="B380" s="797" t="inlineStr">
        <is>
          <t>SALDO FINAL</t>
        </is>
      </c>
      <c r="C380" s="590" t="n"/>
      <c r="D380" s="591" t="n"/>
      <c r="E380" s="1" t="n"/>
      <c r="F380" s="747">
        <f>O277</f>
        <v/>
      </c>
      <c r="G380" s="591" t="n"/>
      <c r="H380" s="1" t="n"/>
      <c r="I380" s="747">
        <f>I354+I358+I378+I379</f>
        <v/>
      </c>
      <c r="J380" s="591" t="n"/>
      <c r="K380" s="317">
        <f>IF(F380=0,"",(I380-F380)/F380)</f>
        <v/>
      </c>
      <c r="L380" s="1" t="n"/>
      <c r="M380" s="747">
        <f>M354+M358+M378+M379</f>
        <v/>
      </c>
      <c r="N380" s="591" t="n"/>
      <c r="O380" s="317">
        <f>IF(I380=0,"",(M380-I380)/I380)</f>
        <v/>
      </c>
      <c r="P380" s="1" t="n"/>
      <c r="Q380" s="16" t="n"/>
      <c r="R380" s="16" t="n"/>
      <c r="S380" s="16" t="n"/>
      <c r="T380" s="16" t="n"/>
      <c r="U380" s="16" t="n"/>
      <c r="V380" s="16" t="n"/>
      <c r="W380" s="16" t="n"/>
      <c r="X380" s="16" t="n"/>
      <c r="Y380" s="16" t="n"/>
      <c r="Z380" s="16" t="n"/>
    </row>
    <row r="381" ht="12.75" customHeight="1" s="588">
      <c r="A381" s="1" t="n"/>
      <c r="B381" s="1" t="n"/>
      <c r="C381" s="1" t="n"/>
      <c r="D381" s="1" t="n"/>
      <c r="E381" s="1" t="n"/>
      <c r="F381" s="1" t="n"/>
      <c r="G381" s="1" t="n"/>
      <c r="H381" s="1" t="n"/>
      <c r="I381" s="1" t="n"/>
      <c r="J381" s="1" t="n"/>
      <c r="K381" s="1" t="n"/>
      <c r="L381" s="1" t="n"/>
      <c r="M381" s="751" t="n"/>
      <c r="N381" s="593" t="n"/>
      <c r="O381" s="1" t="n"/>
      <c r="P381" s="1" t="n"/>
      <c r="Q381" s="16" t="n"/>
      <c r="R381" s="16" t="n"/>
      <c r="S381" s="16" t="n"/>
      <c r="T381" s="16" t="n"/>
      <c r="U381" s="16" t="n"/>
      <c r="V381" s="16" t="n"/>
      <c r="W381" s="16" t="n"/>
      <c r="X381" s="16" t="n"/>
      <c r="Y381" s="16" t="n"/>
      <c r="Z381" s="16" t="n"/>
    </row>
    <row r="382" ht="12.75" customHeight="1" s="588">
      <c r="A382" s="8" t="inlineStr">
        <is>
          <t>¿CUÁNTO Y CUÁNDO?</t>
        </is>
      </c>
      <c r="B382" s="1" t="n"/>
      <c r="C382" s="1" t="n"/>
      <c r="D382" s="1" t="n"/>
      <c r="E382" s="1" t="n"/>
      <c r="F382" s="1" t="n"/>
      <c r="G382" s="1" t="n"/>
      <c r="H382" s="1" t="n"/>
      <c r="I382" s="1" t="n"/>
      <c r="J382" s="185" t="n"/>
      <c r="K382" s="185" t="n"/>
      <c r="L382" s="1" t="n"/>
      <c r="M382" s="1" t="n"/>
      <c r="N382" s="1" t="n"/>
      <c r="O382" s="1" t="n"/>
      <c r="P382" s="185" t="inlineStr">
        <is>
          <t>Plan Financiero</t>
        </is>
      </c>
      <c r="Q382" s="16" t="n"/>
      <c r="R382" s="16" t="n"/>
      <c r="S382" s="16" t="n"/>
      <c r="T382" s="16" t="n"/>
      <c r="U382" s="16" t="n"/>
      <c r="V382" s="16" t="n"/>
      <c r="W382" s="16" t="n"/>
      <c r="X382" s="16" t="n"/>
      <c r="Y382" s="16" t="n"/>
      <c r="Z382" s="16" t="n"/>
    </row>
    <row r="383" ht="12.75" customHeight="1" s="588">
      <c r="A383" s="1" t="n"/>
      <c r="B383" s="1" t="n"/>
      <c r="C383" s="1" t="n"/>
      <c r="D383" s="1" t="n"/>
      <c r="E383" s="1" t="n"/>
      <c r="F383" s="768" t="inlineStr">
        <is>
          <t>BALANCE DE SITUACIÓN 3 AÑOS</t>
        </is>
      </c>
      <c r="G383" s="649" t="n"/>
      <c r="H383" s="649" t="n"/>
      <c r="I383" s="649" t="n"/>
      <c r="J383" s="649" t="n"/>
      <c r="K383" s="647" t="n"/>
      <c r="L383" s="1" t="n"/>
      <c r="M383" s="1" t="n"/>
      <c r="N383" s="1" t="n"/>
      <c r="O383" s="1" t="n"/>
      <c r="P383" s="1" t="n"/>
      <c r="Q383" s="16" t="n"/>
      <c r="R383" s="16" t="n"/>
      <c r="S383" s="16" t="n"/>
      <c r="T383" s="16" t="n"/>
      <c r="U383" s="16" t="n"/>
      <c r="V383" s="16" t="n"/>
      <c r="W383" s="16" t="n"/>
      <c r="X383" s="16" t="n"/>
      <c r="Y383" s="16" t="n"/>
      <c r="Z383" s="16" t="n"/>
    </row>
    <row r="384" ht="12.75" customHeight="1" s="588">
      <c r="A384" s="75" t="n"/>
      <c r="B384" s="75" t="n"/>
      <c r="C384" s="75" t="n"/>
      <c r="D384" s="75" t="n"/>
      <c r="E384" s="75" t="n"/>
      <c r="F384" s="75" t="n"/>
      <c r="G384" s="75" t="n"/>
      <c r="H384" s="75" t="n"/>
      <c r="I384" s="75" t="n"/>
      <c r="J384" s="75" t="n"/>
      <c r="K384" s="75" t="n"/>
      <c r="L384" s="75" t="n"/>
      <c r="M384" s="75" t="n"/>
      <c r="N384" s="75" t="n"/>
      <c r="O384" s="75" t="n"/>
      <c r="P384" s="1" t="n"/>
      <c r="Q384" s="16" t="n"/>
      <c r="R384" s="16" t="n"/>
      <c r="S384" s="16" t="n"/>
      <c r="T384" s="16" t="n"/>
      <c r="U384" s="16" t="n"/>
      <c r="V384" s="16" t="n"/>
      <c r="W384" s="16" t="n"/>
      <c r="X384" s="16" t="n"/>
      <c r="Y384" s="16" t="n"/>
      <c r="Z384" s="16" t="n"/>
    </row>
    <row r="385" ht="12.75" customHeight="1" s="588">
      <c r="A385" s="75" t="n"/>
      <c r="B385" s="75" t="n"/>
      <c r="C385" s="75" t="n"/>
      <c r="D385" s="334" t="n"/>
      <c r="E385" s="334" t="n"/>
      <c r="F385" s="309" t="inlineStr">
        <is>
          <t>Año 1</t>
        </is>
      </c>
      <c r="G385" s="591" t="n"/>
      <c r="H385" s="334" t="n"/>
      <c r="I385" s="309" t="inlineStr">
        <is>
          <t>Año 2</t>
        </is>
      </c>
      <c r="J385" s="591" t="n"/>
      <c r="K385" s="334" t="n"/>
      <c r="L385" s="309" t="inlineStr">
        <is>
          <t>Año 3</t>
        </is>
      </c>
      <c r="M385" s="591" t="n"/>
      <c r="N385" s="75" t="n"/>
      <c r="O385" s="75" t="n"/>
      <c r="P385" s="1" t="n"/>
      <c r="Q385" s="16" t="n"/>
      <c r="R385" s="16" t="n"/>
      <c r="S385" s="16" t="n"/>
      <c r="T385" s="16" t="n"/>
      <c r="U385" s="16" t="n"/>
      <c r="V385" s="16" t="n"/>
      <c r="W385" s="16" t="n"/>
      <c r="X385" s="16" t="n"/>
      <c r="Y385" s="16" t="n"/>
      <c r="Z385" s="16" t="n"/>
    </row>
    <row r="386" ht="12.75" customHeight="1" s="588">
      <c r="A386" s="75" t="n"/>
      <c r="B386" s="810" t="inlineStr">
        <is>
          <t>ACTIVOS</t>
        </is>
      </c>
      <c r="E386" s="543" t="n"/>
      <c r="F386" s="544" t="n"/>
      <c r="G386" s="543" t="n"/>
      <c r="H386" s="544" t="n"/>
      <c r="I386" s="543" t="n"/>
      <c r="J386" s="544" t="n"/>
      <c r="K386" s="75" t="n"/>
      <c r="L386" s="75" t="n"/>
      <c r="M386" s="75" t="n"/>
      <c r="N386" s="75" t="n"/>
      <c r="O386" s="75" t="n"/>
      <c r="P386" s="1" t="n"/>
      <c r="Q386" s="16" t="n"/>
      <c r="R386" s="16" t="n"/>
      <c r="S386" s="16" t="n"/>
      <c r="T386" s="16" t="n"/>
      <c r="U386" s="16" t="n"/>
      <c r="V386" s="16" t="n"/>
      <c r="W386" s="16" t="n"/>
      <c r="X386" s="16" t="n"/>
      <c r="Y386" s="16" t="n"/>
      <c r="Z386" s="16" t="n"/>
    </row>
    <row r="387" ht="12.75" customHeight="1" s="588">
      <c r="A387" s="75" t="n"/>
      <c r="B387" s="75" t="n"/>
      <c r="C387" s="75" t="n"/>
      <c r="D387" s="545" t="n"/>
      <c r="E387" s="463" t="n"/>
      <c r="F387" s="353" t="n"/>
      <c r="G387" s="463" t="n"/>
      <c r="H387" s="353" t="n"/>
      <c r="I387" s="463" t="n"/>
      <c r="J387" s="353" t="n"/>
      <c r="K387" s="75" t="n"/>
      <c r="L387" s="75" t="n"/>
      <c r="M387" s="75" t="n"/>
      <c r="N387" s="75" t="n"/>
      <c r="O387" s="75" t="n"/>
      <c r="P387" s="1" t="n"/>
      <c r="Q387" s="16" t="n"/>
      <c r="R387" s="16" t="n"/>
      <c r="S387" s="16" t="n"/>
      <c r="T387" s="16" t="n"/>
      <c r="U387" s="16" t="n"/>
      <c r="V387" s="16" t="n"/>
      <c r="W387" s="16" t="n"/>
      <c r="X387" s="16" t="n"/>
      <c r="Y387" s="16" t="n"/>
      <c r="Z387" s="16" t="n"/>
    </row>
    <row r="388" ht="12.75" customHeight="1" s="588">
      <c r="A388" s="75" t="n"/>
      <c r="B388" s="811" t="inlineStr">
        <is>
          <t>ACTIVOS NO CORRIENTES</t>
        </is>
      </c>
      <c r="C388" s="590" t="n"/>
      <c r="D388" s="591" t="n"/>
      <c r="E388" s="463" t="n"/>
      <c r="F388" s="812">
        <f>D60+O197</f>
        <v/>
      </c>
      <c r="G388" s="591" t="n"/>
      <c r="H388" s="548" t="n"/>
      <c r="I388" s="812">
        <f>F388+L53+I301</f>
        <v/>
      </c>
      <c r="J388" s="591" t="n"/>
      <c r="K388" s="75" t="n"/>
      <c r="L388" s="812">
        <f>I388+N63+M301</f>
        <v/>
      </c>
      <c r="M388" s="591" t="n"/>
      <c r="N388" s="75" t="n"/>
      <c r="O388" s="75" t="n"/>
      <c r="P388" s="1" t="n"/>
      <c r="Q388" s="16" t="n"/>
      <c r="R388" s="16" t="n"/>
      <c r="S388" s="16" t="n"/>
      <c r="T388" s="16" t="n"/>
      <c r="U388" s="16" t="n"/>
      <c r="V388" s="16" t="n"/>
      <c r="W388" s="16" t="n"/>
      <c r="X388" s="16" t="n"/>
      <c r="Y388" s="16" t="n"/>
      <c r="Z388" s="16" t="n"/>
    </row>
    <row r="389" ht="12.75" customHeight="1" s="588">
      <c r="A389" s="75" t="n"/>
      <c r="B389" s="75" t="n"/>
      <c r="C389" s="75" t="n"/>
      <c r="D389" s="503" t="inlineStr">
        <is>
          <t>Existencias</t>
        </is>
      </c>
      <c r="E389" s="543" t="n"/>
      <c r="F389" s="358">
        <f>F347</f>
        <v/>
      </c>
      <c r="H389" s="550" t="n"/>
      <c r="I389" s="358">
        <f>I347</f>
        <v/>
      </c>
      <c r="K389" s="75" t="n"/>
      <c r="L389" s="358">
        <f>L347</f>
        <v/>
      </c>
      <c r="N389" s="75" t="n"/>
      <c r="O389" s="75" t="n"/>
      <c r="P389" s="1" t="n"/>
      <c r="Q389" s="16" t="n"/>
      <c r="R389" s="16" t="n"/>
      <c r="S389" s="16" t="n"/>
      <c r="T389" s="16" t="n"/>
      <c r="U389" s="16" t="n"/>
      <c r="V389" s="16" t="n"/>
      <c r="W389" s="16" t="n"/>
      <c r="X389" s="16" t="n"/>
      <c r="Y389" s="16" t="n"/>
      <c r="Z389" s="16" t="n"/>
    </row>
    <row r="390" ht="12.75" customHeight="1" s="588">
      <c r="A390" s="75" t="n"/>
      <c r="B390" s="75" t="n"/>
      <c r="C390" s="75" t="n"/>
      <c r="D390" s="503" t="inlineStr">
        <is>
          <t>Clientes</t>
        </is>
      </c>
      <c r="E390" s="463" t="n"/>
      <c r="F390" s="358">
        <f>IF(C245=0,0,IF(C245=1,N124*(100%+$G$13),IF(C245=2,(M124+N124)*(100%+$G$13),(L124+M124+N124)*(100%+$G$13))))</f>
        <v/>
      </c>
      <c r="H390" s="550" t="n"/>
      <c r="I390" s="358">
        <f>O128*(100%+$G$13)+F390-I357</f>
        <v/>
      </c>
      <c r="K390" s="75" t="n"/>
      <c r="L390" s="358">
        <f>O132*(100%+$G$13)+I390-M357</f>
        <v/>
      </c>
      <c r="N390" s="75" t="n"/>
      <c r="O390" s="75" t="n"/>
      <c r="P390" s="1" t="n"/>
      <c r="Q390" s="16" t="n"/>
      <c r="R390" s="16" t="n"/>
      <c r="S390" s="16" t="n"/>
      <c r="T390" s="16" t="n"/>
      <c r="U390" s="16" t="n"/>
      <c r="V390" s="16" t="n"/>
      <c r="W390" s="16" t="n"/>
      <c r="X390" s="16" t="n"/>
      <c r="Y390" s="16" t="n"/>
      <c r="Z390" s="16" t="n"/>
    </row>
    <row r="391" ht="12.75" customHeight="1" s="588">
      <c r="A391" s="75" t="n"/>
      <c r="B391" s="75" t="n"/>
      <c r="C391" s="75" t="n"/>
      <c r="D391" s="503">
        <f>IF($D$20=25%,"Otros Deudores","Retribuciones Empresarios y Otros Deudores")</f>
        <v/>
      </c>
      <c r="E391" s="463" t="n"/>
      <c r="F391" s="406">
        <f>IF($D$20=25%,0,-F360)</f>
        <v/>
      </c>
      <c r="H391" s="550" t="n"/>
      <c r="I391" s="406">
        <f>IF($D$20=25%,0,-I360)</f>
        <v/>
      </c>
      <c r="K391" s="75" t="n"/>
      <c r="L391" s="406">
        <f>IF($D$20=25%,0,-M360)</f>
        <v/>
      </c>
      <c r="N391" s="75" t="n"/>
      <c r="O391" s="75" t="n"/>
      <c r="P391" s="1" t="n"/>
      <c r="Q391" s="16" t="n"/>
      <c r="R391" s="16" t="n"/>
      <c r="S391" s="16" t="n"/>
      <c r="T391" s="16" t="n"/>
      <c r="U391" s="16" t="n"/>
      <c r="V391" s="16" t="n"/>
      <c r="W391" s="16" t="n"/>
      <c r="X391" s="16" t="n"/>
      <c r="Y391" s="16" t="n"/>
      <c r="Z391" s="16" t="n"/>
    </row>
    <row r="392" ht="12.75" customHeight="1" s="588">
      <c r="A392" s="75" t="n"/>
      <c r="B392" s="75" t="n"/>
      <c r="C392" s="75" t="n"/>
      <c r="D392" s="503" t="inlineStr">
        <is>
          <t>Tesorería</t>
        </is>
      </c>
      <c r="E392" s="463" t="n"/>
      <c r="F392" s="358">
        <f>F380</f>
        <v/>
      </c>
      <c r="H392" s="550" t="n"/>
      <c r="I392" s="358">
        <f>I380</f>
        <v/>
      </c>
      <c r="K392" s="75" t="n"/>
      <c r="L392" s="358">
        <f>M380</f>
        <v/>
      </c>
      <c r="N392" s="75" t="n"/>
      <c r="O392" s="75" t="n"/>
      <c r="P392" s="1" t="n"/>
      <c r="Q392" s="16" t="n"/>
      <c r="R392" s="16" t="n"/>
      <c r="S392" s="16" t="n"/>
      <c r="T392" s="16" t="n"/>
      <c r="U392" s="16" t="n"/>
      <c r="V392" s="16" t="n"/>
      <c r="W392" s="16" t="n"/>
      <c r="X392" s="16" t="n"/>
      <c r="Y392" s="16" t="n"/>
      <c r="Z392" s="16" t="n"/>
    </row>
    <row r="393" ht="12.75" customHeight="1" s="588">
      <c r="A393" s="75" t="n"/>
      <c r="B393" s="811" t="inlineStr">
        <is>
          <t>ACTIVOS CORRIENTES</t>
        </is>
      </c>
      <c r="C393" s="590" t="n"/>
      <c r="D393" s="591" t="n"/>
      <c r="E393" s="463" t="n"/>
      <c r="F393" s="742">
        <f>SUM(F389:G392)</f>
        <v/>
      </c>
      <c r="G393" s="591" t="n"/>
      <c r="H393" s="548" t="n"/>
      <c r="I393" s="742">
        <f>SUM(I389:I392)</f>
        <v/>
      </c>
      <c r="J393" s="591" t="n"/>
      <c r="K393" s="75" t="n"/>
      <c r="L393" s="742">
        <f>SUM(L389:L392)</f>
        <v/>
      </c>
      <c r="M393" s="591" t="n"/>
      <c r="N393" s="75" t="n"/>
      <c r="O393" s="75" t="n"/>
      <c r="P393" s="1" t="n"/>
      <c r="Q393" s="16" t="n"/>
      <c r="R393" s="16" t="n"/>
      <c r="S393" s="16" t="n"/>
      <c r="T393" s="16" t="n"/>
      <c r="U393" s="16" t="n"/>
      <c r="V393" s="16" t="n"/>
      <c r="W393" s="16" t="n"/>
      <c r="X393" s="16" t="n"/>
      <c r="Y393" s="16" t="n"/>
      <c r="Z393" s="16" t="n"/>
    </row>
    <row r="394" ht="12.75" customHeight="1" s="588">
      <c r="A394" s="75" t="n"/>
      <c r="B394" s="75" t="n"/>
      <c r="C394" s="75" t="n"/>
      <c r="D394" s="545" t="n"/>
      <c r="E394" s="463" t="n"/>
      <c r="F394" s="353" t="n"/>
      <c r="G394" s="463" t="n"/>
      <c r="H394" s="353" t="n"/>
      <c r="I394" s="463" t="n"/>
      <c r="J394" s="353" t="n"/>
      <c r="K394" s="75" t="n"/>
      <c r="L394" s="75" t="n"/>
      <c r="M394" s="75" t="n"/>
      <c r="N394" s="75" t="n"/>
      <c r="O394" s="75" t="n"/>
      <c r="P394" s="1" t="n"/>
      <c r="Q394" s="16" t="n"/>
      <c r="R394" s="16" t="n"/>
      <c r="S394" s="16" t="n"/>
      <c r="T394" s="16" t="n"/>
      <c r="U394" s="16" t="n"/>
      <c r="V394" s="16" t="n"/>
      <c r="W394" s="16" t="n"/>
      <c r="X394" s="16" t="n"/>
      <c r="Y394" s="16" t="n"/>
      <c r="Z394" s="16" t="n"/>
    </row>
    <row r="395" ht="12.75" customHeight="1" s="588">
      <c r="A395" s="75" t="n"/>
      <c r="B395" s="813" t="inlineStr">
        <is>
          <t>TOTAL ACTIVOS</t>
        </is>
      </c>
      <c r="C395" s="590" t="n"/>
      <c r="D395" s="591" t="n"/>
      <c r="E395" s="543" t="n"/>
      <c r="F395" s="764">
        <f>F388+F393</f>
        <v/>
      </c>
      <c r="G395" s="591" t="n"/>
      <c r="H395" s="553" t="n"/>
      <c r="I395" s="764">
        <f>I388+I393</f>
        <v/>
      </c>
      <c r="J395" s="591" t="n"/>
      <c r="K395" s="75" t="n"/>
      <c r="L395" s="764">
        <f>L388+L393</f>
        <v/>
      </c>
      <c r="M395" s="591" t="n"/>
      <c r="N395" s="75" t="n"/>
      <c r="O395" s="75" t="n"/>
      <c r="P395" s="1" t="n"/>
      <c r="Q395" s="16" t="n"/>
      <c r="R395" s="16" t="n"/>
      <c r="S395" s="16" t="n"/>
      <c r="T395" s="16" t="n"/>
      <c r="U395" s="16" t="n"/>
      <c r="V395" s="16" t="n"/>
      <c r="W395" s="16" t="n"/>
      <c r="X395" s="16" t="n"/>
      <c r="Y395" s="16" t="n"/>
      <c r="Z395" s="16" t="n"/>
    </row>
    <row r="396" ht="12.75" customHeight="1" s="588">
      <c r="A396" s="75" t="n"/>
      <c r="B396" s="75" t="n"/>
      <c r="C396" s="75" t="n"/>
      <c r="D396" s="334" t="n"/>
      <c r="E396" s="334" t="n"/>
      <c r="F396" s="334" t="n"/>
      <c r="G396" s="334" t="n"/>
      <c r="H396" s="334" t="n"/>
      <c r="I396" s="334" t="n"/>
      <c r="J396" s="334" t="n"/>
      <c r="K396" s="75" t="n"/>
      <c r="L396" s="75" t="n"/>
      <c r="M396" s="75" t="n"/>
      <c r="N396" s="75" t="n"/>
      <c r="O396" s="75" t="n"/>
      <c r="P396" s="1" t="n"/>
      <c r="Q396" s="16" t="n"/>
      <c r="R396" s="16" t="n"/>
      <c r="S396" s="16" t="n"/>
      <c r="T396" s="16" t="n"/>
      <c r="U396" s="16" t="n"/>
      <c r="V396" s="16" t="n"/>
      <c r="W396" s="16" t="n"/>
      <c r="X396" s="16" t="n"/>
      <c r="Y396" s="16" t="n"/>
      <c r="Z396" s="16" t="n"/>
    </row>
    <row r="397" ht="12.75" customHeight="1" s="588">
      <c r="A397" s="75" t="n"/>
      <c r="B397" s="75" t="n"/>
      <c r="C397" s="75" t="n"/>
      <c r="D397" s="334" t="n"/>
      <c r="E397" s="334" t="n"/>
      <c r="F397" s="554">
        <f>IF(INT(F395)=INT(F413),"","ERROR: Balance descuadrado")</f>
        <v/>
      </c>
      <c r="G397" s="334" t="n"/>
      <c r="H397" s="334" t="n"/>
      <c r="I397" s="554">
        <f>IF(INT(I395)=INT(I413),"","ERROR: Balance descuadrado")</f>
        <v/>
      </c>
      <c r="J397" s="334" t="n"/>
      <c r="K397" s="75" t="n"/>
      <c r="L397" s="554">
        <f>IF(INT(L395)=INT(L413),"","ERROR: Balance descuadrado")</f>
        <v/>
      </c>
      <c r="M397" s="75" t="n"/>
      <c r="N397" s="75" t="n"/>
      <c r="O397" s="75" t="n"/>
      <c r="P397" s="1" t="n"/>
      <c r="Q397" s="16" t="n"/>
      <c r="R397" s="16" t="n"/>
      <c r="S397" s="16" t="n"/>
      <c r="T397" s="16" t="n"/>
      <c r="U397" s="16" t="n"/>
      <c r="V397" s="16" t="n"/>
      <c r="W397" s="16" t="n"/>
      <c r="X397" s="16" t="n"/>
      <c r="Y397" s="16" t="n"/>
      <c r="Z397" s="16" t="n"/>
    </row>
    <row r="398" ht="12.75" customHeight="1" s="588">
      <c r="A398" s="75" t="n"/>
      <c r="B398" s="810" t="inlineStr">
        <is>
          <t>PATR. NETO Y PASIVOS</t>
        </is>
      </c>
      <c r="E398" s="463" t="n"/>
      <c r="F398" s="555" t="n"/>
      <c r="G398" s="550" t="n"/>
      <c r="H398" s="555" t="n"/>
      <c r="I398" s="550" t="n"/>
      <c r="J398" s="555" t="n"/>
      <c r="K398" s="75" t="n"/>
      <c r="L398" s="75" t="n"/>
      <c r="M398" s="75" t="n"/>
      <c r="N398" s="75" t="n"/>
      <c r="O398" s="75" t="n"/>
      <c r="P398" s="1" t="n"/>
      <c r="Q398" s="16" t="n"/>
      <c r="R398" s="16" t="n"/>
      <c r="S398" s="16" t="n"/>
      <c r="T398" s="16" t="n"/>
      <c r="U398" s="16" t="n"/>
      <c r="V398" s="16" t="n"/>
      <c r="W398" s="16" t="n"/>
      <c r="X398" s="16" t="n"/>
      <c r="Y398" s="16" t="n"/>
      <c r="Z398" s="16" t="n"/>
    </row>
    <row r="399" ht="12.75" customHeight="1" s="588">
      <c r="A399" s="75" t="n"/>
      <c r="B399" s="75" t="n"/>
      <c r="C399" s="75" t="n"/>
      <c r="D399" s="545" t="n"/>
      <c r="E399" s="463" t="n"/>
      <c r="F399" s="353" t="n"/>
      <c r="G399" s="463" t="n"/>
      <c r="H399" s="353" t="n"/>
      <c r="I399" s="463" t="n"/>
      <c r="J399" s="353" t="n"/>
      <c r="K399" s="75" t="n"/>
      <c r="L399" s="75" t="n"/>
      <c r="M399" s="75" t="n"/>
      <c r="N399" s="75" t="n"/>
      <c r="O399" s="75" t="n"/>
      <c r="P399" s="1" t="n"/>
      <c r="Q399" s="16" t="n"/>
      <c r="R399" s="16" t="n"/>
      <c r="S399" s="16" t="n"/>
      <c r="T399" s="16" t="n"/>
      <c r="U399" s="16" t="n"/>
      <c r="V399" s="16" t="n"/>
      <c r="W399" s="16" t="n"/>
      <c r="X399" s="16" t="n"/>
      <c r="Y399" s="16" t="n"/>
      <c r="Z399" s="16" t="n"/>
    </row>
    <row r="400" ht="12.75" customHeight="1" s="588">
      <c r="A400" s="75" t="n"/>
      <c r="B400" s="75" t="n"/>
      <c r="C400" s="75" t="n"/>
      <c r="D400" s="503" t="inlineStr">
        <is>
          <t>Capital</t>
        </is>
      </c>
      <c r="E400" s="463" t="n"/>
      <c r="F400" s="358">
        <f>N43+N44</f>
        <v/>
      </c>
      <c r="H400" s="550" t="n"/>
      <c r="I400" s="358">
        <f>F400</f>
        <v/>
      </c>
      <c r="K400" s="75" t="n"/>
      <c r="L400" s="358">
        <f>I400</f>
        <v/>
      </c>
      <c r="N400" s="75" t="n"/>
      <c r="O400" s="75" t="n"/>
      <c r="P400" s="1" t="n"/>
      <c r="Q400" s="16" t="n"/>
      <c r="R400" s="16" t="n"/>
      <c r="S400" s="16" t="n"/>
      <c r="T400" s="16" t="n"/>
      <c r="U400" s="16" t="n"/>
      <c r="V400" s="16" t="n"/>
      <c r="W400" s="16" t="n"/>
      <c r="X400" s="16" t="n"/>
      <c r="Y400" s="16" t="n"/>
      <c r="Z400" s="16" t="n"/>
    </row>
    <row r="401" ht="12.75" customHeight="1" s="588">
      <c r="A401" s="75" t="n"/>
      <c r="B401" s="75" t="n"/>
      <c r="C401" s="75" t="n"/>
      <c r="D401" s="503">
        <f>IF($D$20=25%,"Reservas y Resultados de Ejercicios Ant.","Reinversión en el Negocio")</f>
        <v/>
      </c>
      <c r="E401" s="543" t="n"/>
      <c r="F401" s="358" t="n"/>
      <c r="H401" s="550" t="n"/>
      <c r="I401" s="358">
        <f>IF($D$20=25%,F401+F402,I395-I400-I402-I403-I407-I411)</f>
        <v/>
      </c>
      <c r="K401" s="75" t="n"/>
      <c r="L401" s="358">
        <f>IF($D$20=25%,I401+I402,L395-L400-L402-L403-L407-L411)</f>
        <v/>
      </c>
      <c r="N401" s="75" t="n"/>
      <c r="O401" s="75" t="n"/>
      <c r="P401" s="1" t="n"/>
      <c r="Q401" s="16" t="n"/>
      <c r="R401" s="16" t="n"/>
      <c r="S401" s="16" t="n"/>
      <c r="T401" s="16" t="n"/>
      <c r="U401" s="16" t="n"/>
      <c r="V401" s="16" t="n"/>
      <c r="W401" s="16" t="n"/>
      <c r="X401" s="16" t="n"/>
      <c r="Y401" s="16" t="n"/>
      <c r="Z401" s="16" t="n"/>
    </row>
    <row r="402" ht="12.75" customHeight="1" s="588">
      <c r="A402" s="75" t="n"/>
      <c r="B402" s="75" t="n"/>
      <c r="C402" s="75" t="n"/>
      <c r="D402" s="503" t="inlineStr">
        <is>
          <t>Resultado del Ejercicio</t>
        </is>
      </c>
      <c r="E402" s="543" t="n"/>
      <c r="F402" s="358">
        <f>F310</f>
        <v/>
      </c>
      <c r="H402" s="550" t="n"/>
      <c r="I402" s="358">
        <f>I310</f>
        <v/>
      </c>
      <c r="K402" s="75" t="n"/>
      <c r="L402" s="358">
        <f>M310</f>
        <v/>
      </c>
      <c r="N402" s="75" t="n"/>
      <c r="O402" s="75" t="n"/>
      <c r="P402" s="1" t="n"/>
      <c r="Q402" s="16" t="n"/>
      <c r="R402" s="16" t="n"/>
      <c r="S402" s="16" t="n"/>
      <c r="T402" s="16" t="n"/>
      <c r="U402" s="16" t="n"/>
      <c r="V402" s="16" t="n"/>
      <c r="W402" s="16" t="n"/>
      <c r="X402" s="16" t="n"/>
      <c r="Y402" s="16" t="n"/>
      <c r="Z402" s="16" t="n"/>
    </row>
    <row r="403" ht="12.75" customHeight="1" s="588">
      <c r="A403" s="75" t="n"/>
      <c r="B403" s="75" t="n"/>
      <c r="C403" s="75" t="n"/>
      <c r="D403" s="503" t="inlineStr">
        <is>
          <t>Subvenciones</t>
        </is>
      </c>
      <c r="E403" s="543" t="n"/>
      <c r="F403" s="358">
        <f>N45-F307</f>
        <v/>
      </c>
      <c r="H403" s="550" t="n"/>
      <c r="I403" s="358">
        <f>F403+L56-I307</f>
        <v/>
      </c>
      <c r="K403" s="75" t="n"/>
      <c r="L403" s="358">
        <f>I403+N66-M307</f>
        <v/>
      </c>
      <c r="N403" s="75" t="n"/>
      <c r="O403" s="75" t="n"/>
      <c r="P403" s="1" t="n"/>
      <c r="Q403" s="16" t="n"/>
      <c r="R403" s="16" t="n"/>
      <c r="S403" s="16" t="n"/>
      <c r="T403" s="16" t="n"/>
      <c r="U403" s="16" t="n"/>
      <c r="V403" s="16" t="n"/>
      <c r="W403" s="16" t="n"/>
      <c r="X403" s="16" t="n"/>
      <c r="Y403" s="16" t="n"/>
      <c r="Z403" s="16" t="n"/>
    </row>
    <row r="404" ht="12.75" customHeight="1" s="588">
      <c r="A404" s="75" t="n"/>
      <c r="B404" s="814" t="inlineStr">
        <is>
          <t>PATRIMONIO NETO</t>
        </is>
      </c>
      <c r="C404" s="590" t="n"/>
      <c r="D404" s="591" t="n"/>
      <c r="E404" s="463" t="n"/>
      <c r="F404" s="742">
        <f>SUM(F400:G403)</f>
        <v/>
      </c>
      <c r="G404" s="591" t="n"/>
      <c r="H404" s="548" t="n"/>
      <c r="I404" s="742">
        <f>SUM(I400:J403)</f>
        <v/>
      </c>
      <c r="J404" s="591" t="n"/>
      <c r="K404" s="75" t="n"/>
      <c r="L404" s="742">
        <f>SUM(L400:M403)</f>
        <v/>
      </c>
      <c r="M404" s="591" t="n"/>
      <c r="N404" s="75" t="n"/>
      <c r="O404" s="75" t="n"/>
      <c r="P404" s="1" t="n"/>
      <c r="Q404" s="16" t="n"/>
      <c r="R404" s="16" t="n"/>
      <c r="S404" s="16" t="n"/>
      <c r="T404" s="16" t="n"/>
      <c r="U404" s="16" t="n"/>
      <c r="V404" s="16" t="n"/>
      <c r="W404" s="16" t="n"/>
      <c r="X404" s="16" t="n"/>
      <c r="Y404" s="16" t="n"/>
      <c r="Z404" s="16" t="n"/>
    </row>
    <row r="405" ht="12.75" customHeight="1" s="588">
      <c r="A405" s="75" t="n"/>
      <c r="B405" s="75" t="n"/>
      <c r="C405" s="75" t="n"/>
      <c r="D405" s="503" t="inlineStr">
        <is>
          <t>Préstamos a Largo Plazo</t>
        </is>
      </c>
      <c r="E405" s="401" t="n"/>
      <c r="F405" s="358">
        <f>O88</f>
        <v/>
      </c>
      <c r="H405" s="550" t="n"/>
      <c r="I405" s="358">
        <f>O94+L62</f>
        <v/>
      </c>
      <c r="K405" s="75" t="n"/>
      <c r="L405" s="358">
        <f>O100+N62+N72</f>
        <v/>
      </c>
      <c r="N405" s="75" t="n"/>
      <c r="O405" s="75" t="n"/>
      <c r="P405" s="1" t="n"/>
      <c r="Q405" s="16" t="n"/>
      <c r="R405" s="16" t="n"/>
      <c r="S405" s="16" t="n"/>
      <c r="T405" s="16" t="n"/>
      <c r="U405" s="16" t="n"/>
      <c r="V405" s="16" t="n"/>
      <c r="W405" s="16" t="n"/>
      <c r="X405" s="16" t="n"/>
      <c r="Y405" s="16" t="n"/>
      <c r="Z405" s="16" t="n"/>
    </row>
    <row r="406" ht="12.75" customHeight="1" s="588">
      <c r="A406" s="75" t="n"/>
      <c r="B406" s="75" t="n"/>
      <c r="C406" s="75" t="n"/>
      <c r="D406" s="503" t="inlineStr">
        <is>
          <t>Otros Acreedores a Largo Plazo</t>
        </is>
      </c>
      <c r="E406" s="401" t="n"/>
      <c r="F406" s="815" t="n"/>
      <c r="H406" s="550" t="n"/>
      <c r="I406" s="815" t="n"/>
      <c r="K406" s="75" t="n"/>
      <c r="L406" s="815" t="n"/>
      <c r="N406" s="75" t="n"/>
      <c r="O406" s="75" t="n"/>
      <c r="P406" s="1" t="n"/>
      <c r="Q406" s="16" t="n"/>
      <c r="R406" s="16" t="n"/>
      <c r="S406" s="16" t="n"/>
      <c r="T406" s="16" t="n"/>
      <c r="U406" s="16" t="n"/>
      <c r="V406" s="16" t="n"/>
      <c r="W406" s="16" t="n"/>
      <c r="X406" s="16" t="n"/>
      <c r="Y406" s="16" t="n"/>
      <c r="Z406" s="16" t="n"/>
    </row>
    <row r="407" ht="12.75" customHeight="1" s="588">
      <c r="A407" s="75" t="n"/>
      <c r="B407" s="814" t="inlineStr">
        <is>
          <t>PASIVOS NO CORRIENTES</t>
        </is>
      </c>
      <c r="C407" s="590" t="n"/>
      <c r="D407" s="591" t="n"/>
      <c r="E407" s="463" t="n"/>
      <c r="F407" s="742">
        <f>SUM(F405:G406)</f>
        <v/>
      </c>
      <c r="G407" s="591" t="n"/>
      <c r="H407" s="548" t="n"/>
      <c r="I407" s="742">
        <f>SUM(I405:J406)</f>
        <v/>
      </c>
      <c r="J407" s="591" t="n"/>
      <c r="K407" s="75" t="n"/>
      <c r="L407" s="742">
        <f>SUM(L405:M406)</f>
        <v/>
      </c>
      <c r="M407" s="591" t="n"/>
      <c r="N407" s="75" t="n"/>
      <c r="O407" s="75" t="n"/>
      <c r="P407" s="1" t="n"/>
      <c r="Q407" s="16" t="n"/>
      <c r="R407" s="16" t="n"/>
      <c r="S407" s="16" t="n"/>
      <c r="T407" s="16" t="n"/>
      <c r="U407" s="16" t="n"/>
      <c r="V407" s="16" t="n"/>
      <c r="W407" s="16" t="n"/>
      <c r="X407" s="16" t="n"/>
      <c r="Y407" s="16" t="n"/>
      <c r="Z407" s="16" t="n"/>
    </row>
    <row r="408" ht="12.75" customHeight="1" s="588">
      <c r="A408" s="75" t="n"/>
      <c r="B408" s="75" t="n"/>
      <c r="C408" s="75" t="n"/>
      <c r="D408" s="503" t="inlineStr">
        <is>
          <t>Proveedores</t>
        </is>
      </c>
      <c r="E408" s="558" t="n"/>
      <c r="F408" s="358">
        <f>IF($G$13&gt;0%,100%+$G$11,1)*O241+O252</f>
        <v/>
      </c>
      <c r="H408" s="550" t="n"/>
      <c r="I408" s="358">
        <f>F408+IF($G$13&gt;0%,100%+$G$11,1)*I346+I359</f>
        <v/>
      </c>
      <c r="K408" s="75" t="n"/>
      <c r="L408" s="358">
        <f>I408+IF($G$13&gt;0%,100%+$G$11,1)*L346+M359</f>
        <v/>
      </c>
      <c r="N408" s="75" t="n"/>
      <c r="O408" s="75" t="n"/>
      <c r="P408" s="1" t="n"/>
      <c r="Q408" s="16" t="n"/>
      <c r="R408" s="16" t="n"/>
      <c r="S408" s="16" t="n"/>
      <c r="T408" s="16" t="n"/>
      <c r="U408" s="16" t="n"/>
      <c r="V408" s="16" t="n"/>
      <c r="W408" s="16" t="n"/>
      <c r="X408" s="16" t="n"/>
      <c r="Y408" s="16" t="n"/>
      <c r="Z408" s="16" t="n"/>
    </row>
    <row r="409" ht="12.75" customHeight="1" s="588">
      <c r="A409" s="75" t="n"/>
      <c r="B409" s="75" t="n"/>
      <c r="C409" s="75" t="n"/>
      <c r="D409" s="503" t="inlineStr">
        <is>
          <t>Acreedores a Corto Plazo</t>
        </is>
      </c>
      <c r="E409" s="401" t="n"/>
      <c r="F409" s="815" t="n"/>
      <c r="H409" s="550" t="n"/>
      <c r="I409" s="815" t="n"/>
      <c r="K409" s="75" t="n"/>
      <c r="L409" s="815" t="n"/>
      <c r="N409" s="75" t="n"/>
      <c r="O409" s="75" t="n"/>
      <c r="P409" s="1" t="n"/>
      <c r="Q409" s="16" t="n"/>
      <c r="R409" s="16" t="n"/>
      <c r="S409" s="16" t="n"/>
      <c r="T409" s="16" t="n"/>
      <c r="U409" s="16" t="n"/>
      <c r="V409" s="16" t="n"/>
      <c r="W409" s="16" t="n"/>
      <c r="X409" s="16" t="n"/>
      <c r="Y409" s="16" t="n"/>
      <c r="Z409" s="16" t="n"/>
    </row>
    <row r="410" ht="12.75" customHeight="1" s="588">
      <c r="A410" s="75" t="n"/>
      <c r="B410" s="75" t="n"/>
      <c r="C410" s="75" t="n"/>
      <c r="D410" s="503" t="inlineStr">
        <is>
          <t>Administraciones Públicas</t>
        </is>
      </c>
      <c r="E410" s="401" t="n"/>
      <c r="F410" s="358">
        <f>P216+P220+P224+P233</f>
        <v/>
      </c>
      <c r="H410" s="550" t="n"/>
      <c r="I410" s="358">
        <f>K322+K326+K330+K337</f>
        <v/>
      </c>
      <c r="K410" s="75" t="n"/>
      <c r="L410" s="358">
        <f>O322+O326+O330+O337</f>
        <v/>
      </c>
      <c r="N410" s="75" t="n"/>
      <c r="O410" s="75" t="n"/>
      <c r="P410" s="1" t="n"/>
      <c r="Q410" s="16" t="n"/>
      <c r="R410" s="16" t="n"/>
      <c r="S410" s="16" t="n"/>
      <c r="T410" s="16" t="n"/>
      <c r="U410" s="16" t="n"/>
      <c r="V410" s="16" t="n"/>
      <c r="W410" s="16" t="n"/>
      <c r="X410" s="16" t="n"/>
      <c r="Y410" s="16" t="n"/>
      <c r="Z410" s="16" t="n"/>
    </row>
    <row r="411" ht="12.75" customHeight="1" s="588">
      <c r="A411" s="75" t="n"/>
      <c r="B411" s="814" t="inlineStr">
        <is>
          <t>PASIVOS CORRIENTES</t>
        </is>
      </c>
      <c r="C411" s="590" t="n"/>
      <c r="D411" s="591" t="n"/>
      <c r="E411" s="463" t="n"/>
      <c r="F411" s="742">
        <f>SUM(F408:G410)</f>
        <v/>
      </c>
      <c r="G411" s="591" t="n"/>
      <c r="H411" s="548" t="n"/>
      <c r="I411" s="742">
        <f>SUM(I408:J410)</f>
        <v/>
      </c>
      <c r="J411" s="591" t="n"/>
      <c r="K411" s="75" t="n"/>
      <c r="L411" s="742">
        <f>SUM(L408:M410)</f>
        <v/>
      </c>
      <c r="M411" s="591" t="n"/>
      <c r="N411" s="75" t="n"/>
      <c r="O411" s="75" t="n"/>
      <c r="P411" s="1" t="n"/>
      <c r="Q411" s="16" t="n"/>
      <c r="R411" s="16" t="n"/>
      <c r="S411" s="16" t="n"/>
      <c r="T411" s="16" t="n"/>
      <c r="U411" s="16" t="n"/>
      <c r="V411" s="16" t="n"/>
      <c r="W411" s="16" t="n"/>
      <c r="X411" s="16" t="n"/>
      <c r="Y411" s="16" t="n"/>
      <c r="Z411" s="16" t="n"/>
    </row>
    <row r="412" ht="12.75" customHeight="1" s="588">
      <c r="A412" s="75" t="n"/>
      <c r="B412" s="75" t="n"/>
      <c r="C412" s="75" t="n"/>
      <c r="D412" s="545" t="n"/>
      <c r="E412" s="463" t="n"/>
      <c r="F412" s="353" t="n"/>
      <c r="G412" s="463" t="n"/>
      <c r="H412" s="353" t="n"/>
      <c r="I412" s="463" t="n"/>
      <c r="J412" s="353" t="n"/>
      <c r="K412" s="75" t="n"/>
      <c r="L412" s="75" t="n"/>
      <c r="M412" s="75" t="n"/>
      <c r="N412" s="75" t="n"/>
      <c r="O412" s="75" t="n"/>
      <c r="P412" s="1" t="n"/>
      <c r="Q412" s="16" t="n"/>
      <c r="R412" s="16" t="n"/>
      <c r="S412" s="16" t="n"/>
      <c r="T412" s="16" t="n"/>
      <c r="U412" s="16" t="n"/>
      <c r="V412" s="16" t="n"/>
      <c r="W412" s="16" t="n"/>
      <c r="X412" s="16" t="n"/>
      <c r="Y412" s="16" t="n"/>
      <c r="Z412" s="16" t="n"/>
    </row>
    <row r="413" ht="12.75" customHeight="1" s="588">
      <c r="A413" s="75" t="n"/>
      <c r="B413" s="813" t="inlineStr">
        <is>
          <t>TOTAL P. N. Y PASIVOS</t>
        </is>
      </c>
      <c r="C413" s="590" t="n"/>
      <c r="D413" s="591" t="n"/>
      <c r="E413" s="543" t="n"/>
      <c r="F413" s="764">
        <f>F404+F407+F411</f>
        <v/>
      </c>
      <c r="G413" s="591" t="n"/>
      <c r="H413" s="553" t="n"/>
      <c r="I413" s="764">
        <f>I404+I407+I411</f>
        <v/>
      </c>
      <c r="J413" s="591" t="n"/>
      <c r="K413" s="75" t="n"/>
      <c r="L413" s="764">
        <f>L404+L407+L411</f>
        <v/>
      </c>
      <c r="M413" s="591" t="n"/>
      <c r="N413" s="75" t="n"/>
      <c r="O413" s="75" t="n"/>
      <c r="P413" s="1" t="n"/>
      <c r="Q413" s="16" t="n"/>
      <c r="R413" s="16" t="n"/>
      <c r="S413" s="16" t="n"/>
      <c r="T413" s="16" t="n"/>
      <c r="U413" s="16" t="n"/>
      <c r="V413" s="16" t="n"/>
      <c r="W413" s="16" t="n"/>
      <c r="X413" s="16" t="n"/>
      <c r="Y413" s="16" t="n"/>
      <c r="Z413" s="16" t="n"/>
    </row>
    <row r="414" ht="12.75" customHeight="1" s="588">
      <c r="A414" s="1" t="n"/>
      <c r="B414" s="1" t="n"/>
      <c r="C414" s="1" t="n"/>
      <c r="D414" s="1" t="n"/>
      <c r="E414" s="1" t="n"/>
      <c r="F414" s="1" t="n"/>
      <c r="G414" s="1" t="n"/>
      <c r="H414" s="1" t="n"/>
      <c r="I414" s="1" t="n"/>
      <c r="J414" s="1" t="n"/>
      <c r="K414" s="1" t="n"/>
      <c r="L414" s="1" t="n"/>
      <c r="M414" s="1" t="n"/>
      <c r="N414" s="1" t="n"/>
      <c r="O414" s="1" t="n"/>
      <c r="P414" s="1" t="n"/>
      <c r="Q414" s="16" t="n"/>
      <c r="R414" s="16" t="n"/>
      <c r="S414" s="16" t="n"/>
      <c r="T414" s="16" t="n"/>
      <c r="U414" s="16" t="n"/>
      <c r="V414" s="16" t="n"/>
      <c r="W414" s="16" t="n"/>
      <c r="X414" s="16" t="n"/>
      <c r="Y414" s="16" t="n"/>
      <c r="Z414" s="16" t="n"/>
    </row>
    <row r="415" ht="12.75" customHeight="1" s="588">
      <c r="A415" s="8" t="inlineStr">
        <is>
          <t>¿CUÁNTO Y CUÁNDO?</t>
        </is>
      </c>
      <c r="B415" s="1" t="n"/>
      <c r="C415" s="1" t="n"/>
      <c r="D415" s="1" t="n"/>
      <c r="E415" s="1" t="n"/>
      <c r="F415" s="1" t="n"/>
      <c r="G415" s="1" t="n"/>
      <c r="H415" s="1" t="n"/>
      <c r="I415" s="1" t="n"/>
      <c r="J415" s="185" t="n"/>
      <c r="K415" s="185" t="n"/>
      <c r="L415" s="1" t="n"/>
      <c r="M415" s="1" t="n"/>
      <c r="N415" s="1" t="n"/>
      <c r="O415" s="1" t="n"/>
      <c r="P415" s="185" t="inlineStr">
        <is>
          <t>Plan Financiero</t>
        </is>
      </c>
      <c r="Q415" s="16" t="n"/>
      <c r="R415" s="16" t="n"/>
      <c r="S415" s="16" t="n"/>
      <c r="T415" s="16" t="n"/>
      <c r="U415" s="16" t="n"/>
      <c r="V415" s="16" t="n"/>
      <c r="W415" s="16" t="n"/>
      <c r="X415" s="16" t="n"/>
      <c r="Y415" s="16" t="n"/>
      <c r="Z415" s="16" t="n"/>
    </row>
    <row r="416" ht="12.75" customHeight="1" s="588">
      <c r="A416" s="1" t="n"/>
      <c r="B416" s="1" t="n"/>
      <c r="C416" s="1" t="n"/>
      <c r="D416" s="1" t="n"/>
      <c r="E416" s="1" t="n"/>
      <c r="F416" s="768" t="inlineStr">
        <is>
          <t>ANÁLISIS DE LAS INVERSIONES Y SU FINANCIACIÓN</t>
        </is>
      </c>
      <c r="G416" s="649" t="n"/>
      <c r="H416" s="649" t="n"/>
      <c r="I416" s="649" t="n"/>
      <c r="J416" s="649" t="n"/>
      <c r="K416" s="647" t="n"/>
      <c r="L416" s="1" t="n"/>
      <c r="M416" s="1" t="n"/>
      <c r="N416" s="1" t="n"/>
      <c r="O416" s="1" t="n"/>
      <c r="P416" s="1" t="n"/>
      <c r="Q416" s="16" t="n"/>
      <c r="R416" s="16" t="n"/>
      <c r="S416" s="16" t="n"/>
      <c r="T416" s="16" t="n"/>
      <c r="U416" s="16" t="n"/>
      <c r="V416" s="16" t="n"/>
      <c r="W416" s="16" t="n"/>
      <c r="X416" s="16" t="n"/>
      <c r="Y416" s="16" t="n"/>
      <c r="Z416" s="16" t="n"/>
    </row>
    <row r="417" ht="12.75" customHeight="1" s="588">
      <c r="A417" s="1" t="n"/>
      <c r="B417" s="1" t="n"/>
      <c r="C417" s="1" t="n"/>
      <c r="D417" s="1" t="n"/>
      <c r="E417" s="1" t="n"/>
      <c r="F417" s="169" t="n"/>
      <c r="G417" s="1" t="n"/>
      <c r="H417" s="1" t="n"/>
      <c r="I417" s="1" t="n"/>
      <c r="J417" s="1" t="n"/>
      <c r="K417" s="1" t="n"/>
      <c r="L417" s="1" t="n"/>
      <c r="M417" s="1" t="n"/>
      <c r="N417" s="1" t="n"/>
      <c r="O417" s="1" t="n"/>
      <c r="P417" s="1" t="n"/>
      <c r="Q417" s="16" t="n"/>
      <c r="R417" s="16" t="n"/>
      <c r="S417" s="16" t="n"/>
      <c r="T417" s="16" t="n"/>
      <c r="U417" s="16" t="n"/>
      <c r="V417" s="16" t="n"/>
      <c r="W417" s="16" t="n"/>
      <c r="X417" s="16" t="n"/>
      <c r="Y417" s="16" t="n"/>
      <c r="Z417" s="16" t="n"/>
    </row>
    <row r="418" ht="12.75" customHeight="1" s="588">
      <c r="A418" s="75" t="n"/>
      <c r="B418" s="75" t="n"/>
      <c r="C418" s="75" t="n"/>
      <c r="D418" s="334" t="n"/>
      <c r="E418" s="334" t="n"/>
      <c r="F418" s="83" t="n"/>
      <c r="G418" s="83" t="n"/>
      <c r="H418" s="309" t="inlineStr">
        <is>
          <t>AÑO 1</t>
        </is>
      </c>
      <c r="I418" s="591" t="n"/>
      <c r="J418" s="309" t="inlineStr">
        <is>
          <t>AÑO 2</t>
        </is>
      </c>
      <c r="K418" s="591" t="n"/>
      <c r="L418" s="309" t="inlineStr">
        <is>
          <t>AÑO3</t>
        </is>
      </c>
      <c r="M418" s="591" t="n"/>
      <c r="N418" s="75" t="n"/>
      <c r="O418" s="75" t="n"/>
      <c r="P418" s="1" t="n"/>
      <c r="Q418" s="16" t="n"/>
      <c r="R418" s="16" t="n"/>
      <c r="S418" s="16" t="n"/>
      <c r="T418" s="16" t="n"/>
      <c r="U418" s="16" t="n"/>
      <c r="V418" s="16" t="n"/>
      <c r="W418" s="16" t="n"/>
      <c r="X418" s="16" t="n"/>
      <c r="Y418" s="16" t="n"/>
      <c r="Z418" s="16" t="n"/>
    </row>
    <row r="419" ht="12.75" customHeight="1" s="588">
      <c r="A419" s="1" t="n"/>
      <c r="B419" s="72" t="n"/>
      <c r="C419" s="1" t="n"/>
      <c r="D419" s="1" t="n"/>
      <c r="E419" s="816" t="inlineStr">
        <is>
          <t>Inversión Inicial</t>
        </is>
      </c>
      <c r="G419" s="596" t="n"/>
      <c r="H419" s="817">
        <f>N50</f>
        <v/>
      </c>
      <c r="I419" s="594" t="n"/>
      <c r="J419" s="818" t="n"/>
      <c r="K419" s="594" t="n"/>
      <c r="L419" s="818" t="n"/>
      <c r="M419" s="594" t="n"/>
      <c r="N419" s="1" t="n"/>
      <c r="O419" s="1" t="n"/>
      <c r="P419" s="1" t="n"/>
      <c r="Q419" s="16" t="n"/>
      <c r="R419" s="16" t="n"/>
      <c r="S419" s="16" t="n"/>
      <c r="T419" s="16" t="n"/>
      <c r="U419" s="16" t="n"/>
      <c r="V419" s="16" t="n"/>
      <c r="W419" s="16" t="n"/>
      <c r="X419" s="16" t="n"/>
      <c r="Y419" s="16" t="n"/>
      <c r="Z419" s="16" t="n"/>
    </row>
    <row r="420" ht="12.75" customHeight="1" s="588">
      <c r="A420" s="1" t="n"/>
      <c r="B420" s="1" t="n"/>
      <c r="C420" s="1" t="n"/>
      <c r="D420" s="1" t="n"/>
      <c r="E420" s="72" t="inlineStr">
        <is>
          <t>Recursos Propios</t>
        </is>
      </c>
      <c r="H420" s="765">
        <f>N43+N44</f>
        <v/>
      </c>
      <c r="I420" s="596" t="n"/>
      <c r="J420" s="765">
        <f>L55</f>
        <v/>
      </c>
      <c r="K420" s="596" t="n"/>
      <c r="L420" s="765">
        <f>N65</f>
        <v/>
      </c>
      <c r="M420" s="596" t="n"/>
      <c r="N420" s="1" t="n"/>
      <c r="O420" s="1" t="n"/>
      <c r="P420" s="1" t="n"/>
      <c r="Q420" s="16" t="n"/>
      <c r="R420" s="16" t="n"/>
      <c r="S420" s="16" t="n"/>
      <c r="T420" s="16" t="n"/>
      <c r="U420" s="16" t="n"/>
      <c r="V420" s="16" t="n"/>
      <c r="W420" s="16" t="n"/>
      <c r="X420" s="16" t="n"/>
      <c r="Y420" s="16" t="n"/>
      <c r="Z420" s="16" t="n"/>
    </row>
    <row r="421" ht="12.75" customHeight="1" s="588">
      <c r="A421" s="1" t="n"/>
      <c r="B421" s="72" t="n"/>
      <c r="C421" s="1" t="n"/>
      <c r="D421" s="1" t="n"/>
      <c r="E421" s="72" t="inlineStr">
        <is>
          <t>Subvenciones</t>
        </is>
      </c>
      <c r="H421" s="765">
        <f>N45</f>
        <v/>
      </c>
      <c r="I421" s="596" t="n"/>
      <c r="J421" s="765">
        <f>L56</f>
        <v/>
      </c>
      <c r="K421" s="596" t="n"/>
      <c r="L421" s="765">
        <f>N66</f>
        <v/>
      </c>
      <c r="M421" s="596" t="n"/>
      <c r="N421" s="1" t="n"/>
      <c r="O421" s="1" t="n"/>
      <c r="P421" s="1" t="n"/>
      <c r="Q421" s="16" t="n"/>
      <c r="R421" s="16" t="n"/>
      <c r="S421" s="16" t="n"/>
      <c r="T421" s="16" t="n"/>
      <c r="U421" s="16" t="n"/>
      <c r="V421" s="16" t="n"/>
      <c r="W421" s="16" t="n"/>
      <c r="X421" s="16" t="n"/>
      <c r="Y421" s="16" t="n"/>
      <c r="Z421" s="16" t="n"/>
    </row>
    <row r="422" ht="12.75" customHeight="1" s="588">
      <c r="A422" s="1" t="n"/>
      <c r="B422" s="1" t="n"/>
      <c r="C422" s="1" t="n"/>
      <c r="D422" s="1" t="n"/>
      <c r="E422" s="72" t="inlineStr">
        <is>
          <t>Recursos Ajenos</t>
        </is>
      </c>
      <c r="H422" s="765">
        <f>N49</f>
        <v/>
      </c>
      <c r="I422" s="596" t="n"/>
      <c r="J422" s="765">
        <f>L57</f>
        <v/>
      </c>
      <c r="K422" s="596" t="n"/>
      <c r="L422" s="765">
        <f>N67</f>
        <v/>
      </c>
      <c r="M422" s="596" t="n"/>
      <c r="N422" s="1" t="n"/>
      <c r="O422" s="1" t="n"/>
      <c r="P422" s="1" t="n"/>
      <c r="Q422" s="16" t="n"/>
      <c r="R422" s="16" t="n"/>
      <c r="S422" s="16" t="n"/>
      <c r="T422" s="16" t="n"/>
      <c r="U422" s="16" t="n"/>
      <c r="V422" s="16" t="n"/>
      <c r="W422" s="16" t="n"/>
      <c r="X422" s="16" t="n"/>
      <c r="Y422" s="16" t="n"/>
      <c r="Z422" s="16" t="n"/>
    </row>
    <row r="423" ht="12.75" customHeight="1" s="588">
      <c r="A423" s="1" t="n"/>
      <c r="B423" s="72" t="n"/>
      <c r="C423" s="1" t="n"/>
      <c r="D423" s="1" t="n"/>
      <c r="E423" s="72" t="inlineStr">
        <is>
          <t>Origen de los Recursos Ajenos</t>
        </is>
      </c>
      <c r="H423" s="819" t="n"/>
      <c r="I423" s="599" t="n"/>
      <c r="J423" s="819" t="n"/>
      <c r="K423" s="599" t="n"/>
      <c r="L423" s="819" t="n"/>
      <c r="M423" s="599" t="n"/>
      <c r="N423" s="1" t="n"/>
      <c r="O423" s="1" t="n"/>
      <c r="P423" s="1" t="n"/>
      <c r="Q423" s="16" t="n"/>
      <c r="R423" s="16" t="n"/>
      <c r="S423" s="16" t="n"/>
      <c r="T423" s="16" t="n"/>
      <c r="U423" s="16" t="n"/>
      <c r="V423" s="16" t="n"/>
      <c r="W423" s="16" t="n"/>
      <c r="X423" s="16" t="n"/>
      <c r="Y423" s="16" t="n"/>
      <c r="Z423" s="16" t="n"/>
    </row>
    <row r="424" ht="12.75" customHeight="1" s="588">
      <c r="A424" s="1" t="n"/>
      <c r="B424" s="1" t="n"/>
      <c r="C424" s="1" t="n"/>
      <c r="D424" s="1" t="n"/>
      <c r="E424" s="1" t="n"/>
      <c r="F424" s="1" t="n"/>
      <c r="G424" s="1" t="n"/>
      <c r="H424" s="1" t="n"/>
      <c r="I424" s="1" t="n"/>
      <c r="J424" s="1" t="n"/>
      <c r="K424" s="1" t="n"/>
      <c r="L424" s="1" t="n"/>
      <c r="M424" s="1" t="n"/>
      <c r="N424" s="1" t="n"/>
      <c r="O424" s="1" t="n"/>
      <c r="P424" s="1" t="n"/>
      <c r="Q424" s="16" t="n"/>
      <c r="R424" s="16" t="n"/>
      <c r="S424" s="16" t="n"/>
      <c r="T424" s="16" t="n"/>
      <c r="U424" s="16" t="n"/>
      <c r="V424" s="16" t="n"/>
      <c r="W424" s="16" t="n"/>
      <c r="X424" s="16" t="n"/>
      <c r="Y424" s="16" t="n"/>
      <c r="Z424" s="16" t="n"/>
    </row>
    <row r="425" ht="12.75" customHeight="1" s="588">
      <c r="A425" s="1" t="n"/>
      <c r="B425" s="72" t="n"/>
      <c r="C425" s="1" t="n"/>
      <c r="D425" s="1" t="n"/>
      <c r="E425" s="1" t="n"/>
      <c r="F425" s="353" t="n"/>
      <c r="G425" s="75" t="n"/>
      <c r="H425" s="1" t="n"/>
      <c r="I425" s="1" t="n"/>
      <c r="J425" s="1" t="n"/>
      <c r="K425" s="1" t="n"/>
      <c r="L425" s="1" t="n"/>
      <c r="M425" s="1" t="n"/>
      <c r="N425" s="1" t="n"/>
      <c r="O425" s="1" t="n"/>
      <c r="P425" s="1" t="n"/>
      <c r="Q425" s="16" t="n"/>
      <c r="R425" s="16" t="n"/>
      <c r="S425" s="16" t="n"/>
      <c r="T425" s="16" t="n"/>
      <c r="U425" s="16" t="n"/>
      <c r="V425" s="16" t="n"/>
      <c r="W425" s="16" t="n"/>
      <c r="X425" s="16" t="n"/>
      <c r="Y425" s="16" t="n"/>
      <c r="Z425" s="16" t="n"/>
    </row>
    <row r="426" ht="12.75" customHeight="1" s="588">
      <c r="A426" s="1" t="n"/>
      <c r="B426" s="1" t="n"/>
      <c r="C426" s="1" t="n"/>
      <c r="D426" s="1" t="n"/>
      <c r="E426" s="1" t="n"/>
      <c r="F426" s="1" t="n"/>
      <c r="G426" s="1" t="n"/>
      <c r="H426" s="1" t="n"/>
      <c r="I426" s="1" t="n"/>
      <c r="J426" s="1" t="n"/>
      <c r="K426" s="1" t="n"/>
      <c r="L426" s="1" t="n"/>
      <c r="M426" s="1" t="n"/>
      <c r="N426" s="1" t="n"/>
      <c r="O426" s="1" t="n"/>
      <c r="P426" s="1" t="n"/>
      <c r="Q426" s="16" t="n"/>
      <c r="R426" s="16" t="n"/>
      <c r="S426" s="16" t="n"/>
      <c r="T426" s="16" t="n"/>
      <c r="U426" s="16" t="n"/>
      <c r="V426" s="16" t="n"/>
      <c r="W426" s="16" t="n"/>
      <c r="X426" s="16" t="n"/>
      <c r="Y426" s="16" t="n"/>
      <c r="Z426" s="16" t="n"/>
    </row>
    <row r="427" ht="12.75" customHeight="1" s="588">
      <c r="A427" s="1" t="n"/>
      <c r="B427" s="72" t="n"/>
      <c r="C427" s="72" t="inlineStr">
        <is>
          <t>Inversión Inicial</t>
        </is>
      </c>
      <c r="F427" s="817">
        <f>-N50</f>
        <v/>
      </c>
      <c r="G427" s="594" t="n"/>
      <c r="H427" s="818" t="n"/>
      <c r="I427" s="594" t="n"/>
      <c r="J427" s="818" t="n"/>
      <c r="K427" s="594" t="n"/>
      <c r="L427" s="818" t="n"/>
      <c r="M427" s="594" t="n"/>
      <c r="N427" s="1" t="n"/>
      <c r="O427" s="1" t="n"/>
      <c r="P427" s="1" t="n"/>
      <c r="Q427" s="16" t="n"/>
      <c r="R427" s="16" t="n"/>
      <c r="S427" s="16" t="n"/>
      <c r="T427" s="16" t="n"/>
      <c r="U427" s="16" t="n"/>
      <c r="V427" s="16" t="n"/>
      <c r="W427" s="16" t="n"/>
      <c r="X427" s="16" t="n"/>
      <c r="Y427" s="16" t="n"/>
      <c r="Z427" s="16" t="n"/>
    </row>
    <row r="428" ht="12.75" customHeight="1" s="588">
      <c r="A428" s="1" t="n"/>
      <c r="B428" s="72" t="n"/>
      <c r="C428" s="72" t="inlineStr">
        <is>
          <t>Inversiones Años siguientes</t>
        </is>
      </c>
      <c r="F428" s="748" t="n"/>
      <c r="G428" s="596" t="n"/>
      <c r="H428" s="748" t="n"/>
      <c r="I428" s="596" t="n"/>
      <c r="J428" s="765">
        <f>-L53</f>
        <v/>
      </c>
      <c r="K428" s="596" t="n"/>
      <c r="L428" s="765">
        <f>-N63</f>
        <v/>
      </c>
      <c r="M428" s="596" t="n"/>
      <c r="N428" s="1" t="n"/>
      <c r="O428" s="1" t="n"/>
      <c r="P428" s="1" t="n"/>
      <c r="Q428" s="16" t="n"/>
      <c r="R428" s="16" t="n"/>
      <c r="S428" s="16" t="n"/>
      <c r="T428" s="16" t="n"/>
      <c r="U428" s="16" t="n"/>
      <c r="V428" s="16" t="n"/>
      <c r="W428" s="16" t="n"/>
      <c r="X428" s="16" t="n"/>
      <c r="Y428" s="16" t="n"/>
      <c r="Z428" s="16" t="n"/>
    </row>
    <row r="429" ht="12.75" customHeight="1" s="588">
      <c r="A429" s="1" t="n"/>
      <c r="B429" s="1" t="n"/>
      <c r="C429" s="72" t="inlineStr">
        <is>
          <t>Cash Flow</t>
        </is>
      </c>
      <c r="F429" s="766" t="n"/>
      <c r="G429" s="599" t="n"/>
      <c r="H429" s="767">
        <f>F310-F301-F307</f>
        <v/>
      </c>
      <c r="I429" s="599" t="n"/>
      <c r="J429" s="767">
        <f>I310-I301-I307</f>
        <v/>
      </c>
      <c r="K429" s="599" t="n"/>
      <c r="L429" s="767">
        <f>M310-M301-M307</f>
        <v/>
      </c>
      <c r="M429" s="599" t="n"/>
      <c r="N429" s="1" t="n"/>
      <c r="O429" s="1" t="n"/>
      <c r="P429" s="1" t="n"/>
      <c r="Q429" s="16" t="n"/>
      <c r="R429" s="16" t="n"/>
      <c r="S429" s="16" t="n"/>
      <c r="T429" s="16" t="n"/>
      <c r="U429" s="16" t="n"/>
      <c r="V429" s="16" t="n"/>
      <c r="W429" s="16" t="n"/>
      <c r="X429" s="16" t="n"/>
      <c r="Y429" s="16" t="n"/>
      <c r="Z429" s="16" t="n"/>
    </row>
    <row r="430" ht="12.75" customHeight="1" s="588">
      <c r="A430" s="1" t="n"/>
      <c r="B430" s="1" t="n"/>
      <c r="C430" s="72" t="n"/>
      <c r="F430" s="72" t="n"/>
      <c r="H430" s="353" t="n"/>
      <c r="J430" s="353" t="n"/>
      <c r="L430" s="353" t="n"/>
      <c r="N430" s="1" t="n"/>
      <c r="O430" s="1" t="n"/>
      <c r="P430" s="1" t="n"/>
      <c r="Q430" s="16" t="n"/>
      <c r="R430" s="16" t="n"/>
      <c r="S430" s="16" t="n"/>
      <c r="T430" s="16" t="n"/>
      <c r="U430" s="16" t="n"/>
      <c r="V430" s="16" t="n"/>
      <c r="W430" s="16" t="n"/>
      <c r="X430" s="16" t="n"/>
      <c r="Y430" s="16" t="n"/>
      <c r="Z430" s="16" t="n"/>
    </row>
    <row r="431" ht="12.75" customHeight="1" s="588">
      <c r="A431" s="1" t="n"/>
      <c r="B431" s="1" t="n"/>
      <c r="C431" s="72" t="inlineStr">
        <is>
          <t>Flujo Neto de Fondos</t>
        </is>
      </c>
      <c r="F431" s="747">
        <f>F427</f>
        <v/>
      </c>
      <c r="G431" s="591" t="n"/>
      <c r="H431" s="747">
        <f>H429</f>
        <v/>
      </c>
      <c r="I431" s="591" t="n"/>
      <c r="J431" s="747">
        <f>J428+J429</f>
        <v/>
      </c>
      <c r="K431" s="591" t="n"/>
      <c r="L431" s="747">
        <f>L428+L429</f>
        <v/>
      </c>
      <c r="M431" s="591" t="n"/>
      <c r="N431" s="1" t="n"/>
      <c r="O431" s="1" t="n"/>
      <c r="P431" s="1" t="n"/>
      <c r="Q431" s="16" t="n"/>
      <c r="R431" s="16" t="n"/>
      <c r="S431" s="16" t="n"/>
      <c r="T431" s="16" t="n"/>
      <c r="U431" s="16" t="n"/>
      <c r="V431" s="16" t="n"/>
      <c r="W431" s="16" t="n"/>
      <c r="X431" s="16" t="n"/>
      <c r="Y431" s="16" t="n"/>
      <c r="Z431" s="16" t="n"/>
    </row>
    <row r="432" ht="12.75" customHeight="1" s="588">
      <c r="A432" s="1" t="n"/>
      <c r="B432" s="1" t="n"/>
      <c r="C432" s="1" t="n"/>
      <c r="D432" s="1" t="n"/>
      <c r="E432" s="1" t="n"/>
      <c r="F432" s="1" t="n"/>
      <c r="G432" s="1" t="n"/>
      <c r="H432" s="1" t="n"/>
      <c r="I432" s="1" t="n"/>
      <c r="J432" s="1" t="n"/>
      <c r="K432" s="1" t="n"/>
      <c r="L432" s="1" t="n"/>
      <c r="M432" s="1" t="n"/>
      <c r="N432" s="1" t="n"/>
      <c r="O432" s="1" t="n"/>
      <c r="P432" s="1" t="n"/>
      <c r="Q432" s="16" t="n"/>
      <c r="R432" s="16" t="n"/>
      <c r="S432" s="16" t="n"/>
      <c r="T432" s="16" t="n"/>
      <c r="U432" s="16" t="n"/>
      <c r="V432" s="16" t="n"/>
      <c r="W432" s="16" t="n"/>
      <c r="X432" s="16" t="n"/>
      <c r="Y432" s="16" t="n"/>
      <c r="Z432" s="16" t="n"/>
    </row>
    <row r="433" ht="12.75" customHeight="1" s="588">
      <c r="A433" s="1" t="n"/>
      <c r="B433" s="1" t="n"/>
      <c r="C433" s="1" t="n"/>
      <c r="D433" s="1" t="n"/>
      <c r="E433" s="72" t="n"/>
      <c r="I433" s="353" t="n"/>
      <c r="K433" s="1" t="n"/>
      <c r="L433" s="353" t="n"/>
      <c r="N433" s="1" t="n"/>
      <c r="O433" s="1" t="n"/>
      <c r="P433" s="1" t="n"/>
      <c r="Q433" s="16" t="n"/>
      <c r="R433" s="16" t="n"/>
      <c r="S433" s="16" t="n"/>
      <c r="T433" s="16" t="n"/>
      <c r="U433" s="16" t="n"/>
      <c r="V433" s="16" t="n"/>
      <c r="W433" s="16" t="n"/>
      <c r="X433" s="16" t="n"/>
      <c r="Y433" s="16" t="n"/>
      <c r="Z433" s="16" t="n"/>
    </row>
    <row r="434" ht="12.75" customHeight="1" s="588">
      <c r="A434" s="1" t="n"/>
      <c r="B434" s="1" t="n"/>
      <c r="C434" s="1" t="n"/>
      <c r="D434" s="1" t="n"/>
      <c r="E434" s="1" t="n"/>
      <c r="F434" s="1" t="n"/>
      <c r="G434" s="1" t="n"/>
      <c r="H434" s="1" t="n"/>
      <c r="I434" s="1" t="n"/>
      <c r="J434" s="1" t="n"/>
      <c r="K434" s="1" t="n"/>
      <c r="L434" s="1" t="n"/>
      <c r="M434" s="1" t="n"/>
      <c r="N434" s="1" t="n"/>
      <c r="O434" s="1" t="n"/>
      <c r="P434" s="1" t="n"/>
      <c r="Q434" s="16" t="n"/>
      <c r="R434" s="16" t="n"/>
      <c r="S434" s="16" t="n"/>
      <c r="T434" s="16" t="n"/>
      <c r="U434" s="16" t="n"/>
      <c r="V434" s="16" t="n"/>
      <c r="W434" s="16" t="n"/>
      <c r="X434" s="16" t="n"/>
      <c r="Y434" s="16" t="n"/>
      <c r="Z434" s="16" t="n"/>
    </row>
    <row r="435" ht="12.75" customHeight="1" s="588">
      <c r="A435" s="1" t="n"/>
      <c r="B435" s="1" t="n"/>
      <c r="C435" s="1" t="n"/>
      <c r="D435" s="1" t="n"/>
      <c r="E435" s="1" t="n"/>
      <c r="F435" s="1" t="n"/>
      <c r="G435" s="1" t="n"/>
      <c r="H435" s="562" t="inlineStr">
        <is>
          <t>TIR:</t>
        </is>
      </c>
      <c r="I435" s="820">
        <f>IRR(F431:M431)</f>
        <v/>
      </c>
      <c r="J435" s="591" t="n"/>
      <c r="K435" s="1" t="n"/>
      <c r="L435" s="562" t="inlineStr">
        <is>
          <t>PAY BACK:</t>
        </is>
      </c>
      <c r="M435" s="590" t="n"/>
      <c r="N435" s="590" t="n"/>
      <c r="O435" s="565">
        <f>IF(H431&gt;I438,"&lt; 1 Año",IF(H431+J431&gt;I438,"&lt; 2 Años",IF(H431+J431+L431&gt;I438,"&lt; 3 Años","&gt; 3 Años")))</f>
        <v/>
      </c>
      <c r="P435" s="1" t="n"/>
      <c r="Q435" s="16" t="n"/>
      <c r="R435" s="16" t="n"/>
      <c r="S435" s="16" t="n"/>
      <c r="T435" s="16" t="n"/>
      <c r="U435" s="16" t="n"/>
      <c r="V435" s="16" t="n"/>
      <c r="W435" s="16" t="n"/>
      <c r="X435" s="16" t="n"/>
      <c r="Y435" s="16" t="n"/>
      <c r="Z435" s="16" t="n"/>
    </row>
    <row r="436" ht="12.75" customHeight="1" s="588">
      <c r="A436" s="1" t="n"/>
      <c r="B436" s="1" t="n"/>
      <c r="C436" s="1" t="n"/>
      <c r="D436" s="1" t="n"/>
      <c r="E436" s="1" t="n"/>
      <c r="F436" s="83" t="n"/>
      <c r="G436" s="83" t="n"/>
      <c r="I436" s="83" t="n"/>
      <c r="K436" s="1" t="n"/>
      <c r="L436" s="83" t="n"/>
      <c r="N436" s="1" t="n"/>
      <c r="O436" s="1" t="n"/>
      <c r="P436" s="1" t="n"/>
      <c r="Q436" s="16" t="n"/>
      <c r="R436" s="16" t="n"/>
      <c r="S436" s="16" t="n"/>
      <c r="T436" s="16" t="n"/>
      <c r="U436" s="16" t="n"/>
      <c r="V436" s="16" t="n"/>
      <c r="W436" s="16" t="n"/>
      <c r="X436" s="16" t="n"/>
      <c r="Y436" s="16" t="n"/>
      <c r="Z436" s="16" t="n"/>
    </row>
    <row r="437" ht="12.75" customHeight="1" s="588">
      <c r="A437" s="1" t="n"/>
      <c r="B437" s="1" t="n"/>
      <c r="C437" s="72" t="n"/>
      <c r="D437" s="1" t="n"/>
      <c r="E437" s="1" t="n"/>
      <c r="F437" s="1" t="n"/>
      <c r="G437" s="1" t="n"/>
      <c r="I437" s="1" t="n"/>
      <c r="K437" s="1" t="n"/>
      <c r="L437" s="1" t="n"/>
      <c r="M437" s="1" t="n"/>
      <c r="N437" s="1" t="n"/>
      <c r="O437" s="1" t="n"/>
      <c r="P437" s="1" t="n"/>
      <c r="Q437" s="16" t="n"/>
      <c r="R437" s="16" t="n"/>
      <c r="S437" s="16" t="n"/>
      <c r="T437" s="16" t="n"/>
      <c r="U437" s="16" t="n"/>
      <c r="V437" s="16" t="n"/>
      <c r="W437" s="16" t="n"/>
      <c r="X437" s="16" t="n"/>
      <c r="Y437" s="16" t="n"/>
      <c r="Z437" s="16" t="n"/>
    </row>
    <row r="438" ht="12.75" customHeight="1" s="588">
      <c r="A438" s="1" t="n"/>
      <c r="B438" s="72" t="n"/>
      <c r="C438" s="72" t="n"/>
      <c r="D438" s="1" t="n"/>
      <c r="E438" s="1" t="n"/>
      <c r="F438" s="562" t="inlineStr">
        <is>
          <t>INVERSIÓN TOTAL:</t>
        </is>
      </c>
      <c r="G438" s="590" t="n"/>
      <c r="H438" s="590" t="n"/>
      <c r="I438" s="821">
        <f>-F427-J428-L428</f>
        <v/>
      </c>
      <c r="J438" s="591" t="n"/>
      <c r="K438" s="1" t="n"/>
      <c r="L438" s="353" t="n"/>
      <c r="N438" s="1" t="n"/>
      <c r="O438" s="1" t="n"/>
      <c r="P438" s="1" t="n"/>
      <c r="Q438" s="16" t="n"/>
      <c r="R438" s="16" t="n"/>
      <c r="S438" s="16" t="n"/>
      <c r="T438" s="16" t="n"/>
      <c r="U438" s="16" t="n"/>
      <c r="V438" s="16" t="n"/>
      <c r="W438" s="16" t="n"/>
      <c r="X438" s="16" t="n"/>
      <c r="Y438" s="16" t="n"/>
      <c r="Z438" s="16" t="n"/>
    </row>
    <row r="439" hidden="1" ht="12.75" customHeight="1" s="588">
      <c r="A439" s="1" t="inlineStr">
        <is>
          <t>3F</t>
        </is>
      </c>
      <c r="B439" s="1" t="n"/>
      <c r="C439" s="1" t="n"/>
      <c r="D439" s="1" t="n"/>
      <c r="E439" s="1" t="n"/>
      <c r="F439" s="1" t="n"/>
      <c r="G439" s="1" t="n"/>
      <c r="H439" s="1" t="n"/>
      <c r="I439" s="1" t="n"/>
      <c r="J439" s="1" t="n"/>
      <c r="K439" s="1" t="n"/>
      <c r="L439" s="1" t="n"/>
      <c r="M439" s="1" t="n"/>
      <c r="N439" s="1" t="n"/>
      <c r="O439" s="1" t="n"/>
      <c r="P439" s="1" t="n"/>
      <c r="Q439" s="16" t="n"/>
      <c r="R439" s="16" t="n"/>
      <c r="S439" s="16" t="n"/>
      <c r="T439" s="16" t="n"/>
      <c r="U439" s="16" t="n"/>
      <c r="V439" s="16" t="n"/>
      <c r="W439" s="16" t="n"/>
      <c r="X439" s="16" t="n"/>
      <c r="Y439" s="16" t="n"/>
      <c r="Z439" s="16" t="n"/>
    </row>
    <row r="440" hidden="1" ht="13.5" customHeight="1" s="588">
      <c r="A440" s="1" t="inlineStr">
        <is>
          <t>AA.PP.</t>
        </is>
      </c>
      <c r="B440" s="1" t="n"/>
      <c r="C440" s="1" t="n"/>
      <c r="D440" s="1" t="n"/>
      <c r="E440" s="1" t="n"/>
      <c r="F440" s="1" t="n"/>
      <c r="G440" s="1" t="n"/>
      <c r="H440" s="72" t="n"/>
      <c r="I440" s="1" t="n"/>
      <c r="J440" s="1" t="n"/>
      <c r="K440" s="1" t="n"/>
      <c r="L440" s="1" t="n"/>
      <c r="M440" s="1" t="n"/>
      <c r="N440" s="1" t="n"/>
      <c r="O440" s="1" t="n"/>
      <c r="P440" s="1" t="n"/>
      <c r="Q440" s="16" t="n"/>
      <c r="R440" s="16" t="n"/>
      <c r="S440" s="16" t="n"/>
      <c r="T440" s="16" t="n"/>
      <c r="U440" s="16" t="n"/>
      <c r="V440" s="16" t="n"/>
      <c r="W440" s="16" t="n"/>
      <c r="X440" s="16" t="n"/>
      <c r="Y440" s="16" t="n"/>
      <c r="Z440" s="16" t="n"/>
    </row>
    <row r="441" hidden="1" ht="12.75" customHeight="1" s="588">
      <c r="A441" s="1" t="inlineStr">
        <is>
          <t>Microcrédito</t>
        </is>
      </c>
      <c r="B441" s="1" t="n"/>
      <c r="C441" s="1" t="n"/>
      <c r="D441" s="1" t="n"/>
      <c r="E441" s="1" t="n"/>
      <c r="F441" s="1" t="n"/>
      <c r="G441" s="1" t="n"/>
      <c r="H441" s="1" t="n"/>
      <c r="I441" s="1" t="n"/>
      <c r="J441" s="1" t="n"/>
      <c r="K441" s="1" t="n"/>
      <c r="L441" s="1" t="n"/>
      <c r="M441" s="1" t="n"/>
      <c r="N441" s="1" t="n"/>
      <c r="O441" s="1" t="n"/>
      <c r="P441" s="1" t="n"/>
      <c r="Q441" s="16" t="n"/>
      <c r="R441" s="16" t="n"/>
      <c r="S441" s="16" t="n"/>
      <c r="T441" s="16" t="n"/>
      <c r="U441" s="16" t="n"/>
      <c r="V441" s="16" t="n"/>
      <c r="W441" s="16" t="n"/>
      <c r="X441" s="16" t="n"/>
      <c r="Y441" s="16" t="n"/>
      <c r="Z441" s="16" t="n"/>
    </row>
    <row r="442" hidden="1" ht="13.5" customHeight="1" s="588">
      <c r="A442" s="1" t="inlineStr">
        <is>
          <t>Banca Comercial</t>
        </is>
      </c>
      <c r="B442" s="1" t="n"/>
      <c r="C442" s="1" t="n"/>
      <c r="D442" s="1" t="n"/>
      <c r="E442" s="1" t="n"/>
      <c r="F442" s="1" t="n"/>
      <c r="G442" s="1" t="n"/>
      <c r="H442" s="72" t="n"/>
      <c r="I442" s="1" t="n"/>
      <c r="J442" s="1" t="n"/>
      <c r="K442" s="1" t="n"/>
      <c r="L442" s="1" t="n"/>
      <c r="M442" s="1" t="n"/>
      <c r="N442" s="1" t="n"/>
      <c r="O442" s="1" t="n"/>
      <c r="P442" s="1" t="n"/>
      <c r="Q442" s="16" t="n"/>
      <c r="R442" s="16" t="n"/>
      <c r="S442" s="16" t="n"/>
      <c r="T442" s="16" t="n"/>
      <c r="U442" s="16" t="n"/>
      <c r="V442" s="16" t="n"/>
      <c r="W442" s="16" t="n"/>
      <c r="X442" s="16" t="n"/>
      <c r="Y442" s="16" t="n"/>
      <c r="Z442" s="16" t="n"/>
    </row>
    <row r="443" hidden="1" ht="12.75" customHeight="1" s="588">
      <c r="A443" s="1" t="inlineStr">
        <is>
          <t>ICO</t>
        </is>
      </c>
      <c r="B443" s="1" t="n"/>
      <c r="C443" s="1" t="n"/>
      <c r="D443" s="1" t="n"/>
      <c r="E443" s="1" t="n"/>
      <c r="F443" s="1" t="n"/>
      <c r="G443" s="1" t="n"/>
      <c r="H443" s="1" t="n"/>
      <c r="I443" s="1" t="n"/>
      <c r="J443" s="1" t="n"/>
      <c r="K443" s="1" t="n"/>
      <c r="L443" s="1" t="n"/>
      <c r="M443" s="1" t="n"/>
      <c r="N443" s="1" t="n"/>
      <c r="O443" s="1" t="n"/>
      <c r="P443" s="1" t="n"/>
      <c r="Q443" s="16" t="n"/>
      <c r="R443" s="16" t="n"/>
      <c r="S443" s="16" t="n"/>
      <c r="T443" s="16" t="n"/>
      <c r="U443" s="16" t="n"/>
      <c r="V443" s="16" t="n"/>
      <c r="W443" s="16" t="n"/>
      <c r="X443" s="16" t="n"/>
      <c r="Y443" s="16" t="n"/>
      <c r="Z443" s="16" t="n"/>
    </row>
    <row r="444" hidden="1" ht="13.5" customHeight="1" s="588">
      <c r="A444" s="1" t="inlineStr">
        <is>
          <t>Prést. Participativo</t>
        </is>
      </c>
      <c r="B444" s="1" t="n"/>
      <c r="C444" s="1" t="n"/>
      <c r="D444" s="1" t="n"/>
      <c r="E444" s="1" t="n"/>
      <c r="F444" s="1" t="n"/>
      <c r="G444" s="1" t="n"/>
      <c r="H444" s="72" t="n"/>
      <c r="I444" s="1" t="n"/>
      <c r="J444" s="1" t="n"/>
      <c r="K444" s="1" t="n"/>
      <c r="L444" s="1" t="n"/>
      <c r="M444" s="1" t="n"/>
      <c r="N444" s="1" t="n"/>
      <c r="O444" s="1" t="n"/>
      <c r="P444" s="1" t="n"/>
      <c r="Q444" s="16" t="n"/>
      <c r="R444" s="16" t="n"/>
      <c r="S444" s="16" t="n"/>
      <c r="T444" s="16" t="n"/>
      <c r="U444" s="16" t="n"/>
      <c r="V444" s="16" t="n"/>
      <c r="W444" s="16" t="n"/>
      <c r="X444" s="16" t="n"/>
      <c r="Y444" s="16" t="n"/>
      <c r="Z444" s="16" t="n"/>
    </row>
    <row r="445" hidden="1" ht="12.75" customHeight="1" s="588">
      <c r="A445" s="1" t="inlineStr">
        <is>
          <t>Business Angels</t>
        </is>
      </c>
      <c r="B445" s="1" t="n"/>
      <c r="C445" s="1" t="n"/>
      <c r="D445" s="1" t="n"/>
      <c r="E445" s="1" t="n"/>
      <c r="F445" s="1" t="n"/>
      <c r="G445" s="1" t="n"/>
      <c r="H445" s="1" t="n"/>
      <c r="I445" s="1" t="n"/>
      <c r="J445" s="1" t="n"/>
      <c r="K445" s="1" t="n"/>
      <c r="L445" s="1" t="n"/>
      <c r="M445" s="1" t="n"/>
      <c r="N445" s="1" t="n"/>
      <c r="O445" s="1" t="n"/>
      <c r="P445" s="1" t="n"/>
      <c r="Q445" s="16" t="n"/>
      <c r="R445" s="16" t="n"/>
      <c r="S445" s="16" t="n"/>
      <c r="T445" s="16" t="n"/>
      <c r="U445" s="16" t="n"/>
      <c r="V445" s="16" t="n"/>
      <c r="W445" s="16" t="n"/>
      <c r="X445" s="16" t="n"/>
      <c r="Y445" s="16" t="n"/>
      <c r="Z445" s="16" t="n"/>
    </row>
    <row r="446" hidden="1" ht="12.75" customHeight="1" s="588">
      <c r="A446" s="1" t="inlineStr">
        <is>
          <t>Capital Riesgo</t>
        </is>
      </c>
      <c r="B446" s="72" t="n"/>
      <c r="C446" s="72" t="n"/>
      <c r="D446" s="1" t="n"/>
      <c r="E446" s="1" t="n"/>
      <c r="F446" s="353" t="n"/>
      <c r="H446" s="1" t="n"/>
      <c r="I446" s="353" t="n"/>
      <c r="K446" s="1" t="n"/>
      <c r="L446" s="353" t="n"/>
      <c r="N446" s="1" t="n"/>
      <c r="O446" s="1" t="n"/>
      <c r="P446" s="1" t="n"/>
      <c r="Q446" s="16" t="n"/>
      <c r="R446" s="16" t="n"/>
      <c r="S446" s="16" t="n"/>
      <c r="T446" s="16" t="n"/>
      <c r="U446" s="16" t="n"/>
      <c r="V446" s="16" t="n"/>
      <c r="W446" s="16" t="n"/>
      <c r="X446" s="16" t="n"/>
      <c r="Y446" s="16" t="n"/>
      <c r="Z446" s="16" t="n"/>
    </row>
    <row r="447" hidden="1" ht="12.75" customHeight="1" s="588">
      <c r="A447" s="1" t="inlineStr">
        <is>
          <t>MAB</t>
        </is>
      </c>
      <c r="B447" s="72" t="n"/>
      <c r="C447" s="72" t="n"/>
      <c r="D447" s="1" t="n"/>
      <c r="E447" s="1" t="n"/>
      <c r="F447" s="353" t="n"/>
      <c r="H447" s="1" t="n"/>
      <c r="I447" s="353" t="n"/>
      <c r="K447" s="1" t="n"/>
      <c r="L447" s="353" t="n"/>
      <c r="N447" s="1" t="n"/>
      <c r="O447" s="1" t="n"/>
      <c r="P447" s="1" t="n"/>
      <c r="Q447" s="16" t="n"/>
      <c r="R447" s="16" t="n"/>
      <c r="S447" s="16" t="n"/>
      <c r="T447" s="16" t="n"/>
      <c r="U447" s="16" t="n"/>
      <c r="V447" s="16" t="n"/>
      <c r="W447" s="16" t="n"/>
      <c r="X447" s="16" t="n"/>
      <c r="Y447" s="16" t="n"/>
      <c r="Z447" s="16" t="n"/>
    </row>
    <row r="448" ht="12.75" customHeight="1" s="588">
      <c r="A448" s="1" t="n"/>
      <c r="B448" s="1" t="n"/>
      <c r="C448" s="1" t="n"/>
      <c r="D448" s="1" t="n"/>
      <c r="E448" s="1" t="n"/>
      <c r="F448" s="363" t="inlineStr">
        <is>
          <t>Tipo de Interés de referencia:</t>
        </is>
      </c>
      <c r="G448" s="590" t="n"/>
      <c r="H448" s="590" t="n"/>
      <c r="I448" s="822" t="n">
        <v>0.08</v>
      </c>
      <c r="J448" s="591" t="n"/>
      <c r="K448" s="72" t="n"/>
      <c r="L448" s="72" t="n"/>
      <c r="M448" s="72" t="n"/>
      <c r="N448" s="520" t="n"/>
      <c r="O448" s="1" t="n"/>
      <c r="P448" s="1" t="n"/>
      <c r="Q448" s="16" t="n"/>
      <c r="R448" s="16" t="n"/>
      <c r="S448" s="16" t="n"/>
      <c r="T448" s="16" t="n"/>
      <c r="U448" s="16" t="n"/>
      <c r="V448" s="16" t="n"/>
      <c r="W448" s="16" t="n"/>
      <c r="X448" s="16" t="n"/>
      <c r="Y448" s="16" t="n"/>
      <c r="Z448" s="16" t="n"/>
    </row>
    <row r="449" ht="12.75" customHeight="1" s="588">
      <c r="A449" s="1" t="n"/>
      <c r="B449" s="1" t="n"/>
      <c r="C449" s="1" t="n"/>
      <c r="D449" s="1" t="n"/>
      <c r="E449" s="1" t="n"/>
      <c r="F449" s="1" t="n"/>
      <c r="G449" s="1" t="n"/>
      <c r="H449" s="1" t="n"/>
      <c r="I449" s="1" t="n"/>
      <c r="J449" s="1" t="n"/>
      <c r="K449" s="1" t="n"/>
      <c r="L449" s="1" t="n"/>
      <c r="M449" s="72" t="n"/>
      <c r="N449" s="1" t="n"/>
      <c r="O449" s="1" t="n"/>
      <c r="P449" s="1" t="n"/>
      <c r="Q449" s="16" t="n"/>
      <c r="R449" s="16" t="n"/>
      <c r="S449" s="16" t="n"/>
      <c r="T449" s="16" t="n"/>
      <c r="U449" s="16" t="n"/>
      <c r="V449" s="16" t="n"/>
      <c r="W449" s="16" t="n"/>
      <c r="X449" s="16" t="n"/>
      <c r="Y449" s="16" t="n"/>
      <c r="Z449" s="16" t="n"/>
    </row>
    <row r="450" ht="12.75" customHeight="1" s="588">
      <c r="A450" s="1" t="n"/>
      <c r="B450" s="1" t="n"/>
      <c r="C450" s="1" t="n"/>
      <c r="D450" s="1" t="n"/>
      <c r="E450" s="1" t="n"/>
      <c r="F450" s="1" t="n"/>
      <c r="G450" s="1" t="n"/>
      <c r="H450" s="1" t="n"/>
      <c r="I450" s="1" t="n"/>
      <c r="J450" s="1" t="n"/>
      <c r="K450" s="1" t="n"/>
      <c r="L450" s="1" t="n"/>
      <c r="M450" s="72" t="n"/>
      <c r="N450" s="1" t="n"/>
      <c r="O450" s="1" t="n"/>
      <c r="P450" s="1" t="n"/>
      <c r="Q450" s="16" t="n"/>
      <c r="R450" s="16" t="n"/>
      <c r="S450" s="16" t="n"/>
      <c r="T450" s="16" t="n"/>
      <c r="U450" s="16" t="n"/>
      <c r="V450" s="16" t="n"/>
      <c r="W450" s="16" t="n"/>
      <c r="X450" s="16" t="n"/>
      <c r="Y450" s="16" t="n"/>
      <c r="Z450" s="16" t="n"/>
    </row>
    <row r="451" ht="12.75" customHeight="1" s="588">
      <c r="A451" s="1" t="n"/>
      <c r="B451" s="1" t="n"/>
      <c r="C451" s="1" t="n"/>
      <c r="D451" s="1" t="n"/>
      <c r="E451" s="1" t="n"/>
      <c r="F451" s="562" t="inlineStr">
        <is>
          <t>VALOR ACTUAL NETO:</t>
        </is>
      </c>
      <c r="G451" s="590" t="n"/>
      <c r="H451" s="590" t="n"/>
      <c r="I451" s="821">
        <f t="array" ref="I451">NPV(I448,F431,H431,J431,L431)</f>
        <v/>
      </c>
      <c r="J451" s="591" t="n"/>
      <c r="K451" s="1" t="n"/>
      <c r="L451" s="823" t="inlineStr">
        <is>
          <t>Calificación  de la Inv.:</t>
        </is>
      </c>
      <c r="M451" s="590" t="n"/>
      <c r="N451" s="824">
        <f>IF(I451&gt;I438,"RENTABLE","A VALORAR")</f>
        <v/>
      </c>
      <c r="O451" s="591" t="n"/>
      <c r="P451" s="1" t="n"/>
      <c r="Q451" s="16" t="n"/>
      <c r="R451" s="16" t="n"/>
      <c r="S451" s="16" t="n"/>
      <c r="T451" s="16" t="n"/>
      <c r="U451" s="16" t="n"/>
      <c r="V451" s="16" t="n"/>
      <c r="W451" s="16" t="n"/>
      <c r="X451" s="16" t="n"/>
      <c r="Y451" s="16" t="n"/>
      <c r="Z451" s="16" t="n"/>
    </row>
    <row r="452" ht="12.75" customHeight="1" s="588">
      <c r="A452" s="1" t="n"/>
      <c r="B452" s="1" t="n"/>
      <c r="C452" s="1" t="n"/>
      <c r="D452" s="1" t="n"/>
      <c r="E452" s="1" t="n"/>
      <c r="F452" s="1" t="n"/>
      <c r="G452" s="1" t="n"/>
      <c r="H452" s="1" t="n"/>
      <c r="I452" s="1" t="n"/>
      <c r="J452" s="1" t="n"/>
      <c r="K452" s="1" t="n"/>
      <c r="L452" s="1" t="n"/>
      <c r="M452" s="1" t="n"/>
      <c r="N452" s="1" t="n"/>
      <c r="O452" s="1" t="n"/>
      <c r="P452" s="1" t="n"/>
      <c r="Q452" s="16" t="n"/>
      <c r="R452" s="16" t="n"/>
      <c r="S452" s="16" t="n"/>
      <c r="T452" s="16" t="n"/>
      <c r="U452" s="16" t="n"/>
      <c r="V452" s="16" t="n"/>
      <c r="W452" s="16" t="n"/>
      <c r="X452" s="16" t="n"/>
      <c r="Y452" s="16" t="n"/>
      <c r="Z452" s="16" t="n"/>
    </row>
    <row r="453" ht="12.75" customHeight="1" s="588">
      <c r="A453" s="1" t="n"/>
      <c r="B453" s="1" t="n"/>
      <c r="C453" s="1" t="n"/>
      <c r="D453" s="1" t="n"/>
      <c r="E453" s="1" t="n"/>
      <c r="F453" s="1" t="n"/>
      <c r="G453" s="1" t="n"/>
      <c r="H453" s="1" t="n"/>
      <c r="I453" s="1" t="n"/>
      <c r="J453" s="1" t="n"/>
      <c r="K453" s="1" t="n"/>
      <c r="L453" s="1" t="n"/>
      <c r="M453" s="1" t="n"/>
      <c r="N453" s="1" t="n"/>
      <c r="O453" s="1" t="n"/>
      <c r="P453" s="1" t="n"/>
      <c r="Q453" s="16" t="n"/>
      <c r="R453" s="16" t="n"/>
      <c r="S453" s="16" t="n"/>
      <c r="T453" s="16" t="n"/>
      <c r="U453" s="16" t="n"/>
      <c r="V453" s="16" t="n"/>
      <c r="W453" s="16" t="n"/>
      <c r="X453" s="16" t="n"/>
      <c r="Y453" s="16" t="n"/>
      <c r="Z453" s="16" t="n"/>
    </row>
    <row r="454" ht="12.75" customHeight="1" s="588">
      <c r="A454" s="1" t="n"/>
      <c r="B454" s="1" t="n"/>
      <c r="C454" s="1" t="n"/>
      <c r="D454" s="1" t="n"/>
      <c r="E454" s="1" t="n"/>
      <c r="F454" s="1" t="n"/>
      <c r="G454" s="1" t="n"/>
      <c r="H454" s="1" t="n"/>
      <c r="I454" s="1" t="n"/>
      <c r="J454" s="1" t="n"/>
      <c r="K454" s="1" t="n"/>
      <c r="L454" s="1" t="n"/>
      <c r="M454" s="1" t="n"/>
      <c r="N454" s="1" t="n"/>
      <c r="O454" s="1" t="n"/>
      <c r="P454" s="1" t="n"/>
      <c r="Q454" s="16" t="n"/>
      <c r="R454" s="16" t="n"/>
      <c r="S454" s="16" t="n"/>
      <c r="T454" s="16" t="n"/>
      <c r="U454" s="16" t="n"/>
      <c r="V454" s="16" t="n"/>
      <c r="W454" s="16" t="n"/>
      <c r="X454" s="16" t="n"/>
      <c r="Y454" s="16" t="n"/>
      <c r="Z454" s="16" t="n"/>
    </row>
    <row r="455" ht="12.75" customHeight="1" s="588">
      <c r="A455" s="1" t="n"/>
      <c r="B455" s="1" t="n"/>
      <c r="C455" s="1" t="n"/>
      <c r="D455" s="1" t="n"/>
      <c r="E455" s="1" t="n"/>
      <c r="F455" s="1" t="n"/>
      <c r="G455" s="1" t="n"/>
      <c r="H455" s="1" t="n"/>
      <c r="I455" s="1" t="n"/>
      <c r="J455" s="1" t="n"/>
      <c r="K455" s="1" t="n"/>
      <c r="L455" s="1" t="n"/>
      <c r="M455" s="1" t="n"/>
      <c r="N455" s="1" t="n"/>
      <c r="O455" s="1" t="n"/>
      <c r="P455" s="1" t="n"/>
      <c r="Q455" s="16" t="n"/>
      <c r="R455" s="16" t="n"/>
      <c r="S455" s="16" t="n"/>
      <c r="T455" s="16" t="n"/>
      <c r="U455" s="16" t="n"/>
      <c r="V455" s="16" t="n"/>
      <c r="W455" s="16" t="n"/>
      <c r="X455" s="16" t="n"/>
      <c r="Y455" s="16" t="n"/>
      <c r="Z455" s="16" t="n"/>
    </row>
    <row r="456" ht="12.75" customHeight="1" s="588">
      <c r="A456" s="1" t="n"/>
      <c r="B456" s="1" t="n"/>
      <c r="C456" s="1" t="n"/>
      <c r="D456" s="1" t="n"/>
      <c r="E456" s="1" t="n"/>
      <c r="F456" s="1" t="n"/>
      <c r="G456" s="1" t="n"/>
      <c r="H456" s="1" t="n"/>
      <c r="I456" s="1" t="n"/>
      <c r="J456" s="1" t="n"/>
      <c r="K456" s="1" t="n"/>
      <c r="L456" s="1" t="n"/>
      <c r="M456" s="1" t="n"/>
      <c r="N456" s="1" t="n"/>
      <c r="O456" s="1" t="n"/>
      <c r="P456" s="1" t="n"/>
      <c r="Q456" s="16" t="n"/>
      <c r="R456" s="16" t="n"/>
      <c r="S456" s="16" t="n"/>
      <c r="T456" s="16" t="n"/>
      <c r="U456" s="16" t="n"/>
      <c r="V456" s="16" t="n"/>
      <c r="W456" s="16" t="n"/>
      <c r="X456" s="16" t="n"/>
      <c r="Y456" s="16" t="n"/>
      <c r="Z456" s="16" t="n"/>
    </row>
    <row r="457" ht="12.75" customHeight="1" s="588">
      <c r="A457" s="1" t="n"/>
      <c r="B457" s="1" t="n"/>
      <c r="C457" s="1" t="n"/>
      <c r="D457" s="1" t="n"/>
      <c r="E457" s="1" t="n"/>
      <c r="F457" s="1" t="n"/>
      <c r="G457" s="1" t="n"/>
      <c r="H457" s="1" t="n"/>
      <c r="I457" s="1" t="n"/>
      <c r="J457" s="1" t="n"/>
      <c r="K457" s="1" t="n"/>
      <c r="L457" s="1" t="n"/>
      <c r="M457" s="1" t="n"/>
      <c r="N457" s="1" t="n"/>
      <c r="O457" s="1" t="n"/>
      <c r="P457" s="1" t="n"/>
      <c r="Q457" s="16" t="n"/>
      <c r="R457" s="16" t="n"/>
      <c r="S457" s="16" t="n"/>
      <c r="T457" s="16" t="n"/>
      <c r="U457" s="16" t="n"/>
      <c r="V457" s="16" t="n"/>
      <c r="W457" s="16" t="n"/>
      <c r="X457" s="16" t="n"/>
      <c r="Y457" s="16" t="n"/>
      <c r="Z457" s="16" t="n"/>
    </row>
    <row r="458" ht="12.75" customHeight="1" s="588">
      <c r="A458" s="8" t="inlineStr">
        <is>
          <t>¿CUÁNTO Y CUÁNDO?</t>
        </is>
      </c>
      <c r="B458" s="1" t="n"/>
      <c r="C458" s="1" t="n"/>
      <c r="D458" s="1" t="n"/>
      <c r="E458" s="1" t="n"/>
      <c r="F458" s="1" t="n"/>
      <c r="G458" s="1" t="n"/>
      <c r="H458" s="1" t="n"/>
      <c r="I458" s="1" t="n"/>
      <c r="J458" s="185" t="n"/>
      <c r="K458" s="185" t="n"/>
      <c r="L458" s="1" t="n"/>
      <c r="M458" s="1" t="n"/>
      <c r="N458" s="1" t="n"/>
      <c r="O458" s="1" t="n"/>
      <c r="P458" s="185" t="inlineStr">
        <is>
          <t>Plan Financiero</t>
        </is>
      </c>
      <c r="Q458" s="16" t="n"/>
      <c r="R458" s="16" t="n"/>
      <c r="S458" s="16" t="n"/>
      <c r="T458" s="16" t="n"/>
      <c r="U458" s="16" t="n"/>
      <c r="V458" s="16" t="n"/>
      <c r="W458" s="16" t="n"/>
      <c r="X458" s="16" t="n"/>
      <c r="Y458" s="16" t="n"/>
      <c r="Z458" s="16" t="n"/>
    </row>
    <row r="459" ht="12.75" customHeight="1" s="588">
      <c r="A459" s="8" t="n"/>
      <c r="B459" s="1" t="n"/>
      <c r="C459" s="1" t="n"/>
      <c r="D459" s="1" t="n"/>
      <c r="E459" s="1" t="n"/>
      <c r="F459" s="1" t="n"/>
      <c r="G459" s="1" t="n"/>
      <c r="H459" s="1" t="n"/>
      <c r="I459" s="1" t="n"/>
      <c r="J459" s="185" t="n"/>
      <c r="K459" s="185" t="n"/>
      <c r="L459" s="1" t="n"/>
      <c r="M459" s="1" t="n"/>
      <c r="N459" s="1" t="n"/>
      <c r="O459" s="1" t="n"/>
      <c r="P459" s="185" t="n"/>
      <c r="Q459" s="16" t="n"/>
      <c r="R459" s="16" t="n"/>
      <c r="S459" s="16" t="n"/>
      <c r="T459" s="16" t="n"/>
      <c r="U459" s="16" t="n"/>
      <c r="V459" s="16" t="n"/>
      <c r="W459" s="16" t="n"/>
      <c r="X459" s="16" t="n"/>
      <c r="Y459" s="16" t="n"/>
      <c r="Z459" s="16" t="n"/>
    </row>
    <row r="460" ht="12.75" customHeight="1" s="588">
      <c r="A460" s="1" t="n"/>
      <c r="B460" s="1" t="n"/>
      <c r="C460" s="1" t="n"/>
      <c r="D460" s="1" t="n"/>
      <c r="E460" s="1" t="n"/>
      <c r="F460" s="169" t="n"/>
      <c r="G460" s="768" t="inlineStr">
        <is>
          <t>RATIOS</t>
        </is>
      </c>
      <c r="H460" s="649" t="n"/>
      <c r="I460" s="649" t="n"/>
      <c r="J460" s="647" t="n"/>
      <c r="K460" s="1" t="n"/>
      <c r="L460" s="1" t="n"/>
      <c r="M460" s="1" t="n"/>
      <c r="N460" s="1" t="n"/>
      <c r="O460" s="1" t="n"/>
      <c r="P460" s="1" t="n"/>
      <c r="Q460" s="16" t="n"/>
      <c r="R460" s="16" t="n"/>
      <c r="S460" s="16" t="n"/>
      <c r="T460" s="16" t="n"/>
      <c r="U460" s="16" t="n"/>
      <c r="V460" s="16" t="n"/>
      <c r="W460" s="16" t="n"/>
      <c r="X460" s="16" t="n"/>
      <c r="Y460" s="16" t="n"/>
      <c r="Z460" s="16" t="n"/>
    </row>
    <row r="461" ht="12.75" customHeight="1" s="588">
      <c r="A461" s="1" t="n"/>
      <c r="B461" s="1" t="n"/>
      <c r="C461" s="1" t="n"/>
      <c r="D461" s="1" t="n"/>
      <c r="E461" s="1" t="n"/>
      <c r="F461" s="169" t="n"/>
      <c r="G461" s="1" t="n"/>
      <c r="H461" s="1" t="n"/>
      <c r="I461" s="1" t="n"/>
      <c r="J461" s="1" t="n"/>
      <c r="K461" s="1" t="n"/>
      <c r="L461" s="1" t="n"/>
      <c r="M461" s="1" t="n"/>
      <c r="N461" s="1" t="n"/>
      <c r="O461" s="1" t="n"/>
      <c r="P461" s="1" t="n"/>
      <c r="Q461" s="16" t="n"/>
      <c r="R461" s="16" t="n"/>
      <c r="S461" s="16" t="n"/>
      <c r="T461" s="16" t="n"/>
      <c r="U461" s="16" t="n"/>
      <c r="V461" s="16" t="n"/>
      <c r="W461" s="16" t="n"/>
      <c r="X461" s="16" t="n"/>
      <c r="Y461" s="16" t="n"/>
      <c r="Z461" s="16" t="n"/>
    </row>
    <row r="462" ht="12.75" customHeight="1" s="588">
      <c r="A462" s="1" t="n"/>
      <c r="B462" s="1" t="n"/>
      <c r="C462" s="1" t="n"/>
      <c r="D462" s="1" t="n"/>
      <c r="E462" s="1" t="n"/>
      <c r="F462" s="1" t="n"/>
      <c r="G462" s="1" t="n"/>
      <c r="H462" s="1" t="n"/>
      <c r="I462" s="1" t="n"/>
      <c r="J462" s="1" t="n"/>
      <c r="K462" s="1" t="n"/>
      <c r="L462" s="1" t="n"/>
      <c r="M462" s="1" t="n"/>
      <c r="N462" s="1" t="n"/>
      <c r="O462" s="1" t="n"/>
      <c r="P462" s="1" t="n"/>
      <c r="Q462" s="16" t="n"/>
      <c r="R462" s="16" t="n"/>
      <c r="S462" s="16" t="n"/>
      <c r="T462" s="16" t="n"/>
      <c r="U462" s="16" t="n"/>
      <c r="V462" s="16" t="n"/>
      <c r="W462" s="16" t="n"/>
      <c r="X462" s="16" t="n"/>
      <c r="Y462" s="16" t="n"/>
      <c r="Z462" s="16" t="n"/>
    </row>
    <row r="463" ht="12.75" customHeight="1" s="588">
      <c r="A463" s="1" t="n"/>
      <c r="B463" s="1" t="n"/>
      <c r="C463" s="1" t="n"/>
      <c r="D463" s="1" t="n"/>
      <c r="E463" s="1" t="n"/>
      <c r="F463" s="1" t="n"/>
      <c r="G463" s="1" t="n"/>
      <c r="H463" s="1" t="n"/>
      <c r="I463" s="1" t="n"/>
      <c r="J463" s="1" t="n"/>
      <c r="K463" s="1" t="n"/>
      <c r="L463" s="1" t="n"/>
      <c r="M463" s="1" t="n"/>
      <c r="N463" s="1" t="n"/>
      <c r="O463" s="1" t="n"/>
      <c r="P463" s="1" t="n"/>
      <c r="Q463" s="16" t="n"/>
      <c r="R463" s="16" t="n"/>
      <c r="S463" s="16" t="n"/>
      <c r="T463" s="16" t="n"/>
      <c r="U463" s="16" t="n"/>
      <c r="V463" s="16" t="n"/>
      <c r="W463" s="16" t="n"/>
      <c r="X463" s="16" t="n"/>
      <c r="Y463" s="16" t="n"/>
      <c r="Z463" s="16" t="n"/>
    </row>
    <row r="464" ht="12.75" customHeight="1" s="588">
      <c r="A464" s="1" t="n"/>
      <c r="B464" s="1" t="n"/>
      <c r="C464" s="1" t="n"/>
      <c r="D464" s="1" t="n"/>
      <c r="E464" s="1" t="n"/>
      <c r="F464" s="1" t="n"/>
      <c r="G464" s="309" t="inlineStr">
        <is>
          <t>Año 1</t>
        </is>
      </c>
      <c r="H464" s="591" t="n"/>
      <c r="I464" s="1" t="n"/>
      <c r="J464" s="309" t="inlineStr">
        <is>
          <t>Año 2</t>
        </is>
      </c>
      <c r="K464" s="591" t="n"/>
      <c r="L464" s="1" t="n"/>
      <c r="M464" s="309" t="inlineStr">
        <is>
          <t>Año 3</t>
        </is>
      </c>
      <c r="N464" s="591" t="n"/>
      <c r="O464" s="1" t="n"/>
      <c r="P464" s="1" t="n"/>
      <c r="Q464" s="16" t="n"/>
      <c r="R464" s="16" t="n"/>
      <c r="S464" s="16" t="n"/>
      <c r="T464" s="16" t="n"/>
      <c r="U464" s="16" t="n"/>
      <c r="V464" s="16" t="n"/>
      <c r="W464" s="16" t="n"/>
      <c r="X464" s="16" t="n"/>
      <c r="Y464" s="16" t="n"/>
      <c r="Z464" s="16" t="n"/>
    </row>
    <row r="465" ht="12.75" customHeight="1" s="588">
      <c r="A465" s="1" t="n"/>
      <c r="B465" s="1" t="n"/>
      <c r="C465" s="1" t="n"/>
      <c r="D465" s="1" t="n"/>
      <c r="E465" s="1" t="n"/>
      <c r="F465" s="1" t="n"/>
      <c r="G465" s="1" t="n"/>
      <c r="H465" s="1" t="n"/>
      <c r="I465" s="1" t="n"/>
      <c r="J465" s="1" t="n"/>
      <c r="K465" s="1" t="n"/>
      <c r="L465" s="1" t="n"/>
      <c r="M465" s="1" t="n"/>
      <c r="N465" s="1" t="n"/>
      <c r="O465" s="1" t="n"/>
      <c r="P465" s="1" t="n"/>
      <c r="Q465" s="16" t="n"/>
      <c r="R465" s="16" t="n"/>
      <c r="S465" s="16" t="n"/>
      <c r="T465" s="16" t="n"/>
      <c r="U465" s="16" t="n"/>
      <c r="V465" s="16" t="n"/>
      <c r="W465" s="16" t="n"/>
      <c r="X465" s="16" t="n"/>
      <c r="Y465" s="16" t="n"/>
      <c r="Z465" s="16" t="n"/>
    </row>
    <row r="466" ht="12.75" customHeight="1" s="588">
      <c r="A466" s="1" t="n"/>
      <c r="B466" s="72" t="inlineStr">
        <is>
          <t>EBIT/ACTIVOS (Rentabilidad Económica)</t>
        </is>
      </c>
      <c r="F466" s="83" t="inlineStr">
        <is>
          <t>%</t>
        </is>
      </c>
      <c r="G466" s="345">
        <f>F302/F395</f>
        <v/>
      </c>
      <c r="I466" s="1" t="n"/>
      <c r="J466" s="345">
        <f>I302/I395</f>
        <v/>
      </c>
      <c r="L466" s="1" t="n"/>
      <c r="M466" s="345">
        <f>M302/L395</f>
        <v/>
      </c>
      <c r="O466" s="1" t="n"/>
      <c r="P466" s="1" t="n"/>
      <c r="Q466" s="16" t="n"/>
      <c r="R466" s="16" t="n"/>
      <c r="S466" s="16" t="n"/>
      <c r="T466" s="16" t="n"/>
      <c r="U466" s="16" t="n"/>
      <c r="V466" s="16" t="n"/>
      <c r="W466" s="16" t="n"/>
      <c r="X466" s="16" t="n"/>
      <c r="Y466" s="16" t="n"/>
      <c r="Z466" s="16" t="n"/>
    </row>
    <row r="467" ht="12.75" customHeight="1" s="588">
      <c r="A467" s="1" t="n"/>
      <c r="B467" s="1" t="n"/>
      <c r="C467" s="1" t="n"/>
      <c r="D467" s="1" t="n"/>
      <c r="E467" s="1" t="n"/>
      <c r="F467" s="1" t="n"/>
      <c r="G467" s="1" t="n"/>
      <c r="H467" s="1" t="n"/>
      <c r="I467" s="1" t="n"/>
      <c r="J467" s="1" t="n"/>
      <c r="K467" s="1" t="n"/>
      <c r="L467" s="1" t="n"/>
      <c r="M467" s="1" t="n"/>
      <c r="N467" s="1" t="n"/>
      <c r="O467" s="1" t="n"/>
      <c r="P467" s="1" t="n"/>
      <c r="Q467" s="16" t="n"/>
      <c r="R467" s="16" t="n"/>
      <c r="S467" s="16" t="n"/>
      <c r="T467" s="16" t="n"/>
      <c r="U467" s="16" t="n"/>
      <c r="V467" s="16" t="n"/>
      <c r="W467" s="16" t="n"/>
      <c r="X467" s="16" t="n"/>
      <c r="Y467" s="16" t="n"/>
      <c r="Z467" s="16" t="n"/>
    </row>
    <row r="468" ht="12.75" customHeight="1" s="588">
      <c r="A468" s="72" t="inlineStr">
        <is>
          <t>Resultado Ejeccicio/P.N. (Rentabilidad Financiera)</t>
        </is>
      </c>
      <c r="F468" s="83" t="inlineStr">
        <is>
          <t>%</t>
        </is>
      </c>
      <c r="G468" s="345">
        <f>F310/F404</f>
        <v/>
      </c>
      <c r="I468" s="1" t="n"/>
      <c r="J468" s="345">
        <f>I310/I404</f>
        <v/>
      </c>
      <c r="L468" s="1" t="n"/>
      <c r="M468" s="345">
        <f>M310/L404</f>
        <v/>
      </c>
      <c r="O468" s="1" t="n"/>
      <c r="P468" s="1" t="n"/>
      <c r="Q468" s="16" t="n"/>
      <c r="R468" s="16" t="n"/>
      <c r="S468" s="16" t="n"/>
      <c r="T468" s="16" t="n"/>
      <c r="U468" s="16" t="n"/>
      <c r="V468" s="16" t="n"/>
      <c r="W468" s="16" t="n"/>
      <c r="X468" s="16" t="n"/>
      <c r="Y468" s="16" t="n"/>
      <c r="Z468" s="16" t="n"/>
    </row>
    <row r="469" ht="12.75" customHeight="1" s="588">
      <c r="A469" s="1" t="n"/>
      <c r="B469" s="1" t="n"/>
      <c r="C469" s="1" t="n"/>
      <c r="D469" s="1" t="n"/>
      <c r="E469" s="1" t="n"/>
      <c r="F469" s="1" t="n"/>
      <c r="G469" s="1" t="n"/>
      <c r="H469" s="1" t="n"/>
      <c r="I469" s="1" t="n"/>
      <c r="J469" s="1" t="n"/>
      <c r="K469" s="1" t="n"/>
      <c r="L469" s="1" t="n"/>
      <c r="M469" s="1" t="n"/>
      <c r="N469" s="1" t="n"/>
      <c r="O469" s="1" t="n"/>
      <c r="P469" s="1" t="n"/>
      <c r="Q469" s="16" t="n"/>
      <c r="R469" s="16" t="n"/>
      <c r="S469" s="16" t="n"/>
      <c r="T469" s="16" t="n"/>
      <c r="U469" s="16" t="n"/>
      <c r="V469" s="16" t="n"/>
      <c r="W469" s="16" t="n"/>
      <c r="X469" s="16" t="n"/>
      <c r="Y469" s="16" t="n"/>
      <c r="Z469" s="16" t="n"/>
    </row>
    <row r="470" ht="12.75" customHeight="1" s="588">
      <c r="A470" s="825" t="inlineStr">
        <is>
          <t>P.N.+ PASIVOS N.C.-ACTIVOS N. C. (Fondo de Maniobra)</t>
        </is>
      </c>
      <c r="F470" s="83" t="inlineStr">
        <is>
          <t>u.m.</t>
        </is>
      </c>
      <c r="G470" s="628">
        <f>F404+F407-F388</f>
        <v/>
      </c>
      <c r="I470" s="1" t="n"/>
      <c r="J470" s="628">
        <f>I404+I407-I388</f>
        <v/>
      </c>
      <c r="L470" s="1" t="n"/>
      <c r="M470" s="628">
        <f>L404+L407-L388</f>
        <v/>
      </c>
      <c r="O470" s="1" t="n"/>
      <c r="P470" s="1" t="n"/>
      <c r="Q470" s="16" t="n"/>
      <c r="R470" s="16" t="n"/>
      <c r="S470" s="16" t="n"/>
      <c r="T470" s="16" t="n"/>
      <c r="U470" s="16" t="n"/>
      <c r="V470" s="16" t="n"/>
      <c r="W470" s="16" t="n"/>
      <c r="X470" s="16" t="n"/>
      <c r="Y470" s="16" t="n"/>
      <c r="Z470" s="16" t="n"/>
    </row>
    <row r="471" ht="12.75" customHeight="1" s="588">
      <c r="A471" s="1" t="n"/>
      <c r="B471" s="1" t="n"/>
      <c r="C471" s="1" t="n"/>
      <c r="D471" s="1" t="n"/>
      <c r="E471" s="1" t="n"/>
      <c r="F471" s="1" t="n"/>
      <c r="G471" s="1" t="n"/>
      <c r="H471" s="1" t="n"/>
      <c r="I471" s="1" t="n"/>
      <c r="J471" s="1" t="n"/>
      <c r="K471" s="1" t="n"/>
      <c r="L471" s="1" t="n"/>
      <c r="M471" s="1" t="n"/>
      <c r="N471" s="1" t="n"/>
      <c r="O471" s="1" t="n"/>
      <c r="P471" s="1" t="n"/>
      <c r="Q471" s="16" t="n"/>
      <c r="R471" s="16" t="n"/>
      <c r="S471" s="16" t="n"/>
      <c r="T471" s="16" t="n"/>
      <c r="U471" s="16" t="n"/>
      <c r="V471" s="16" t="n"/>
      <c r="W471" s="16" t="n"/>
      <c r="X471" s="16" t="n"/>
      <c r="Y471" s="16" t="n"/>
      <c r="Z471" s="16" t="n"/>
    </row>
    <row r="472" ht="12.75" customHeight="1" s="588">
      <c r="A472" s="72" t="inlineStr">
        <is>
          <t>Gtos. Financieros/PASIVOS (Coste de Financiación)</t>
        </is>
      </c>
      <c r="F472" s="83" t="inlineStr">
        <is>
          <t>%</t>
        </is>
      </c>
      <c r="G472" s="345">
        <f>-(F304+F305)/(F407+F411)</f>
        <v/>
      </c>
      <c r="I472" s="1" t="n"/>
      <c r="J472" s="345">
        <f>-(I304+I305)/(I407+I411)</f>
        <v/>
      </c>
      <c r="L472" s="1" t="n"/>
      <c r="M472" s="345">
        <f>-(M304+M305)/(L407+L411)</f>
        <v/>
      </c>
      <c r="O472" s="1" t="n"/>
      <c r="P472" s="1" t="n"/>
      <c r="Q472" s="16" t="n"/>
      <c r="R472" s="16" t="n"/>
      <c r="S472" s="16" t="n"/>
      <c r="T472" s="16" t="n"/>
      <c r="U472" s="16" t="n"/>
      <c r="V472" s="16" t="n"/>
      <c r="W472" s="16" t="n"/>
      <c r="X472" s="16" t="n"/>
      <c r="Y472" s="16" t="n"/>
      <c r="Z472" s="16" t="n"/>
    </row>
    <row r="473" ht="12.75" customHeight="1" s="588">
      <c r="A473" s="1" t="n"/>
      <c r="B473" s="1" t="n"/>
      <c r="C473" s="1" t="n"/>
      <c r="D473" s="1" t="n"/>
      <c r="E473" s="1" t="n"/>
      <c r="F473" s="1" t="n"/>
      <c r="G473" s="1" t="n"/>
      <c r="H473" s="1" t="n"/>
      <c r="I473" s="1" t="n"/>
      <c r="J473" s="1" t="n"/>
      <c r="K473" s="1" t="n"/>
      <c r="L473" s="1" t="n"/>
      <c r="M473" s="1" t="n"/>
      <c r="N473" s="1" t="n"/>
      <c r="O473" s="1" t="n"/>
      <c r="P473" s="1" t="n"/>
      <c r="Q473" s="16" t="n"/>
      <c r="R473" s="16" t="n"/>
      <c r="S473" s="16" t="n"/>
      <c r="T473" s="16" t="n"/>
      <c r="U473" s="16" t="n"/>
      <c r="V473" s="16" t="n"/>
      <c r="W473" s="16" t="n"/>
      <c r="X473" s="16" t="n"/>
      <c r="Y473" s="16" t="n"/>
      <c r="Z473" s="16" t="n"/>
    </row>
    <row r="474" ht="12.75" customHeight="1" s="588">
      <c r="A474" s="1" t="n"/>
      <c r="B474" s="72" t="inlineStr">
        <is>
          <t>P.N./P.N. Y PASIVOS (Apalancamiento)</t>
        </is>
      </c>
      <c r="F474" s="371" t="inlineStr">
        <is>
          <t>proporción</t>
        </is>
      </c>
      <c r="G474" s="826">
        <f>F404/F413</f>
        <v/>
      </c>
      <c r="I474" s="1" t="n"/>
      <c r="J474" s="826">
        <f>I404/I413</f>
        <v/>
      </c>
      <c r="L474" s="1" t="n"/>
      <c r="M474" s="826">
        <f>L404/L413</f>
        <v/>
      </c>
      <c r="O474" s="1" t="n"/>
      <c r="P474" s="1" t="n"/>
      <c r="Q474" s="16" t="n"/>
      <c r="R474" s="16" t="n"/>
      <c r="S474" s="16" t="n"/>
      <c r="T474" s="16" t="n"/>
      <c r="U474" s="16" t="n"/>
      <c r="V474" s="16" t="n"/>
      <c r="W474" s="16" t="n"/>
      <c r="X474" s="16" t="n"/>
      <c r="Y474" s="16" t="n"/>
      <c r="Z474" s="16" t="n"/>
    </row>
    <row r="475" ht="12.75" customHeight="1" s="588">
      <c r="A475" s="1" t="n"/>
      <c r="B475" s="1" t="n"/>
      <c r="C475" s="1" t="n"/>
      <c r="D475" s="1" t="n"/>
      <c r="E475" s="1" t="n"/>
      <c r="F475" s="1" t="n"/>
      <c r="G475" s="1" t="n"/>
      <c r="H475" s="1" t="n"/>
      <c r="I475" s="1" t="n"/>
      <c r="J475" s="1" t="n"/>
      <c r="K475" s="1" t="n"/>
      <c r="L475" s="1" t="n"/>
      <c r="M475" s="1" t="n"/>
      <c r="N475" s="1" t="n"/>
      <c r="O475" s="1" t="n"/>
      <c r="P475" s="1" t="n"/>
      <c r="Q475" s="16" t="n"/>
      <c r="R475" s="16" t="n"/>
      <c r="S475" s="16" t="n"/>
      <c r="T475" s="16" t="n"/>
      <c r="U475" s="16" t="n"/>
      <c r="V475" s="16" t="n"/>
      <c r="W475" s="16" t="n"/>
      <c r="X475" s="16" t="n"/>
      <c r="Y475" s="16" t="n"/>
      <c r="Z475" s="16" t="n"/>
    </row>
    <row r="476" ht="12.75" customHeight="1" s="588">
      <c r="A476" s="1" t="n"/>
      <c r="B476" s="72" t="inlineStr">
        <is>
          <t>ACTIVOS C./PASIVOS C. (Liquidez)</t>
        </is>
      </c>
      <c r="F476" s="83" t="inlineStr">
        <is>
          <t>veces</t>
        </is>
      </c>
      <c r="G476" s="628">
        <f>F393/F411</f>
        <v/>
      </c>
      <c r="I476" s="1" t="n"/>
      <c r="J476" s="628">
        <f>I393/I411</f>
        <v/>
      </c>
      <c r="L476" s="1" t="n"/>
      <c r="M476" s="628">
        <f>L393/L411</f>
        <v/>
      </c>
      <c r="O476" s="1" t="n"/>
      <c r="P476" s="1" t="n"/>
      <c r="Q476" s="16" t="n"/>
      <c r="R476" s="16" t="n"/>
      <c r="S476" s="16" t="n"/>
      <c r="T476" s="16" t="n"/>
      <c r="U476" s="16" t="n"/>
      <c r="V476" s="16" t="n"/>
      <c r="W476" s="16" t="n"/>
      <c r="X476" s="16" t="n"/>
      <c r="Y476" s="16" t="n"/>
      <c r="Z476" s="16" t="n"/>
    </row>
    <row r="477" ht="12.75" customHeight="1" s="588">
      <c r="A477" s="1" t="n"/>
      <c r="B477" s="1" t="n"/>
      <c r="C477" s="1" t="n"/>
      <c r="D477" s="1" t="n"/>
      <c r="E477" s="1" t="n"/>
      <c r="F477" s="1" t="n"/>
      <c r="G477" s="1" t="n"/>
      <c r="H477" s="1" t="n"/>
      <c r="I477" s="1" t="n"/>
      <c r="J477" s="1" t="n"/>
      <c r="K477" s="1" t="n"/>
      <c r="L477" s="1" t="n"/>
      <c r="M477" s="1" t="n"/>
      <c r="N477" s="1" t="n"/>
      <c r="O477" s="1" t="n"/>
      <c r="P477" s="1" t="n"/>
      <c r="Q477" s="16" t="n"/>
      <c r="R477" s="16" t="n"/>
      <c r="S477" s="16" t="n"/>
      <c r="T477" s="16" t="n"/>
      <c r="U477" s="16" t="n"/>
      <c r="V477" s="16" t="n"/>
      <c r="W477" s="16" t="n"/>
      <c r="X477" s="16" t="n"/>
      <c r="Y477" s="16" t="n"/>
      <c r="Z477" s="16" t="n"/>
    </row>
    <row r="478" ht="12.75" customHeight="1" s="588">
      <c r="A478" s="1" t="n"/>
      <c r="B478" s="72" t="inlineStr">
        <is>
          <t>C.V./Existencias (Rotación de Existencias)</t>
        </is>
      </c>
      <c r="F478" s="83" t="inlineStr">
        <is>
          <t>veces</t>
        </is>
      </c>
      <c r="G478" s="628">
        <f>IF(F347=0,"n/a",-F285/F347)</f>
        <v/>
      </c>
      <c r="I478" s="1" t="n"/>
      <c r="J478" s="628">
        <f>IF(I347=0,"n/a",-I285/I347)</f>
        <v/>
      </c>
      <c r="L478" s="1" t="n"/>
      <c r="M478" s="628">
        <f>IF(L347=0,"n/a",-M285/L347)</f>
        <v/>
      </c>
      <c r="O478" s="1" t="n"/>
      <c r="P478" s="1" t="n"/>
      <c r="Q478" s="16" t="n"/>
      <c r="R478" s="16" t="n"/>
      <c r="S478" s="16" t="n"/>
      <c r="T478" s="16" t="n"/>
      <c r="U478" s="16" t="n"/>
      <c r="V478" s="16" t="n"/>
      <c r="W478" s="16" t="n"/>
      <c r="X478" s="16" t="n"/>
      <c r="Y478" s="16" t="n"/>
      <c r="Z478" s="16" t="n"/>
    </row>
    <row r="479" ht="12.75" customHeight="1" s="588">
      <c r="A479" s="1" t="n"/>
      <c r="B479" s="1" t="n"/>
      <c r="C479" s="1" t="n"/>
      <c r="D479" s="1" t="n"/>
      <c r="E479" s="1" t="n"/>
      <c r="F479" s="1" t="n"/>
      <c r="G479" s="1" t="n"/>
      <c r="H479" s="1" t="n"/>
      <c r="I479" s="1" t="n"/>
      <c r="J479" s="1" t="n"/>
      <c r="K479" s="1" t="n"/>
      <c r="L479" s="1" t="n"/>
      <c r="M479" s="1" t="n"/>
      <c r="N479" s="1" t="n"/>
      <c r="O479" s="1" t="n"/>
      <c r="P479" s="1" t="n"/>
      <c r="Q479" s="16" t="n"/>
      <c r="R479" s="16" t="n"/>
      <c r="S479" s="16" t="n"/>
      <c r="T479" s="16" t="n"/>
      <c r="U479" s="16" t="n"/>
      <c r="V479" s="16" t="n"/>
      <c r="W479" s="16" t="n"/>
      <c r="X479" s="16" t="n"/>
      <c r="Y479" s="16" t="n"/>
      <c r="Z479" s="16" t="n"/>
    </row>
    <row r="480" ht="12.75" customHeight="1" s="588">
      <c r="A480" s="72" t="inlineStr">
        <is>
          <t>CASH FLOW/PASIVOS (Capacidad de Devolución)</t>
        </is>
      </c>
      <c r="F480" s="83" t="inlineStr">
        <is>
          <t>veces</t>
        </is>
      </c>
      <c r="G480" s="628">
        <f>(F310+F301-F307)/(F407+F411)</f>
        <v/>
      </c>
      <c r="I480" s="1" t="n"/>
      <c r="J480" s="628">
        <f>(I310+I301-I307)/(I407+I411)</f>
        <v/>
      </c>
      <c r="L480" s="1" t="n"/>
      <c r="M480" s="628">
        <f>(M310+M301-M307)/(L407+L411)</f>
        <v/>
      </c>
      <c r="O480" s="1" t="n"/>
      <c r="P480" s="1" t="n"/>
      <c r="Q480" s="16" t="n"/>
      <c r="R480" s="16" t="n"/>
      <c r="S480" s="16" t="n"/>
      <c r="T480" s="16" t="n"/>
      <c r="U480" s="16" t="n"/>
      <c r="V480" s="16" t="n"/>
      <c r="W480" s="16" t="n"/>
      <c r="X480" s="16" t="n"/>
      <c r="Y480" s="16" t="n"/>
      <c r="Z480" s="16" t="n"/>
    </row>
    <row r="481" ht="12.75" customHeight="1" s="588">
      <c r="A481" s="1" t="n"/>
      <c r="B481" s="1" t="n"/>
      <c r="C481" s="1" t="n"/>
      <c r="D481" s="1" t="n"/>
      <c r="E481" s="1" t="n"/>
      <c r="F481" s="1" t="n"/>
      <c r="G481" s="1" t="n"/>
      <c r="H481" s="1" t="n"/>
      <c r="I481" s="1" t="n"/>
      <c r="J481" s="1" t="n"/>
      <c r="K481" s="1" t="n"/>
      <c r="L481" s="1" t="n"/>
      <c r="M481" s="1" t="n"/>
      <c r="N481" s="1" t="n"/>
      <c r="O481" s="1" t="n"/>
      <c r="P481" s="1" t="n"/>
      <c r="Q481" s="16" t="n"/>
      <c r="R481" s="16" t="n"/>
      <c r="S481" s="16" t="n"/>
      <c r="T481" s="16" t="n"/>
      <c r="U481" s="16" t="n"/>
      <c r="V481" s="16" t="n"/>
      <c r="W481" s="16" t="n"/>
      <c r="X481" s="16" t="n"/>
      <c r="Y481" s="16" t="n"/>
      <c r="Z481" s="16" t="n"/>
    </row>
    <row r="482" ht="12.75" customHeight="1" s="588">
      <c r="A482" s="72" t="inlineStr">
        <is>
          <t>(ACTIVOS C.- EXISTENCIAS)/PASIVOS C. (Test Ácido)</t>
        </is>
      </c>
      <c r="F482" s="83" t="inlineStr">
        <is>
          <t>veces</t>
        </is>
      </c>
      <c r="G482" s="628">
        <f>(F393-F389)/F411</f>
        <v/>
      </c>
      <c r="I482" s="1" t="n"/>
      <c r="J482" s="628">
        <f>(I393-I389)/I411</f>
        <v/>
      </c>
      <c r="L482" s="1" t="n"/>
      <c r="M482" s="628">
        <f>(L393-L389)/L411</f>
        <v/>
      </c>
      <c r="O482" s="1" t="n"/>
      <c r="P482" s="1" t="n"/>
      <c r="Q482" s="16" t="n"/>
      <c r="R482" s="16" t="n"/>
      <c r="S482" s="16" t="n"/>
      <c r="T482" s="16" t="n"/>
      <c r="U482" s="16" t="n"/>
      <c r="V482" s="16" t="n"/>
      <c r="W482" s="16" t="n"/>
      <c r="X482" s="16" t="n"/>
      <c r="Y482" s="16" t="n"/>
      <c r="Z482" s="16" t="n"/>
    </row>
    <row r="483" ht="12.75" customHeight="1" s="588">
      <c r="A483" s="1" t="n"/>
      <c r="B483" s="1" t="n"/>
      <c r="C483" s="1" t="n"/>
      <c r="D483" s="1" t="n"/>
      <c r="E483" s="1" t="n"/>
      <c r="F483" s="1" t="n"/>
      <c r="G483" s="1" t="n"/>
      <c r="H483" s="1" t="n"/>
      <c r="I483" s="1" t="n"/>
      <c r="J483" s="1" t="n"/>
      <c r="K483" s="1" t="n"/>
      <c r="L483" s="1" t="n"/>
      <c r="M483" s="1" t="n"/>
      <c r="N483" s="1" t="n"/>
      <c r="O483" s="1" t="n"/>
      <c r="P483" s="1" t="n"/>
      <c r="Q483" s="16" t="n"/>
      <c r="R483" s="16" t="n"/>
      <c r="S483" s="16" t="n"/>
      <c r="T483" s="16" t="n"/>
      <c r="U483" s="16" t="n"/>
      <c r="V483" s="16" t="n"/>
      <c r="W483" s="16" t="n"/>
      <c r="X483" s="16" t="n"/>
      <c r="Y483" s="16" t="n"/>
      <c r="Z483" s="16" t="n"/>
    </row>
    <row r="484" ht="12.75" customHeight="1" s="588">
      <c r="A484" s="72" t="inlineStr">
        <is>
          <t>365 * Clientes/Ventas (Periodo Medio de Cobro)</t>
        </is>
      </c>
      <c r="F484" s="83" t="inlineStr">
        <is>
          <t>días</t>
        </is>
      </c>
      <c r="G484" s="628">
        <f>365*F390/(F284*(100%+$G$13))</f>
        <v/>
      </c>
      <c r="I484" s="1" t="n"/>
      <c r="J484" s="628">
        <f>365*I390/(I284*(100%+$G$13))</f>
        <v/>
      </c>
      <c r="L484" s="1" t="n"/>
      <c r="M484" s="628">
        <f>365*L390/(M284*(100%+$G$13))</f>
        <v/>
      </c>
      <c r="O484" s="1" t="n"/>
      <c r="P484" s="1" t="n"/>
      <c r="Q484" s="16" t="n"/>
      <c r="R484" s="16" t="n"/>
      <c r="S484" s="16" t="n"/>
      <c r="T484" s="16" t="n"/>
      <c r="U484" s="16" t="n"/>
      <c r="V484" s="16" t="n"/>
      <c r="W484" s="16" t="n"/>
      <c r="X484" s="16" t="n"/>
      <c r="Y484" s="16" t="n"/>
      <c r="Z484" s="16" t="n"/>
    </row>
    <row r="485" ht="12.75" customHeight="1" s="588">
      <c r="A485" s="1" t="n"/>
      <c r="B485" s="1" t="n"/>
      <c r="C485" s="1" t="n"/>
      <c r="D485" s="1" t="n"/>
      <c r="E485" s="1" t="n"/>
      <c r="F485" s="1" t="n"/>
      <c r="G485" s="1" t="n"/>
      <c r="H485" s="1" t="n"/>
      <c r="I485" s="1" t="n"/>
      <c r="J485" s="1" t="n"/>
      <c r="K485" s="1" t="n"/>
      <c r="L485" s="1" t="n"/>
      <c r="M485" s="1" t="n"/>
      <c r="N485" s="1" t="n"/>
      <c r="O485" s="1" t="n"/>
      <c r="P485" s="1" t="n"/>
      <c r="Q485" s="16" t="n"/>
      <c r="R485" s="16" t="n"/>
      <c r="S485" s="16" t="n"/>
      <c r="T485" s="16" t="n"/>
      <c r="U485" s="16" t="n"/>
      <c r="V485" s="16" t="n"/>
      <c r="W485" s="16" t="n"/>
      <c r="X485" s="16" t="n"/>
      <c r="Y485" s="16" t="n"/>
      <c r="Z485" s="16" t="n"/>
    </row>
    <row r="486" ht="12.75" customHeight="1" s="588">
      <c r="A486" s="72" t="inlineStr">
        <is>
          <t>365 * PASIVOS C./Ventas (Periodo Medio de Pago)</t>
        </is>
      </c>
      <c r="F486" s="83" t="inlineStr">
        <is>
          <t>días</t>
        </is>
      </c>
      <c r="G486" s="628">
        <f>365*F411/(F284*(100%+$G$13))</f>
        <v/>
      </c>
      <c r="I486" s="1" t="n"/>
      <c r="J486" s="628">
        <f>365*I411/(I284*(100%+$G$13))</f>
        <v/>
      </c>
      <c r="L486" s="1" t="n"/>
      <c r="M486" s="628">
        <f>365*L411/(M284*(100%+$G$13))</f>
        <v/>
      </c>
      <c r="O486" s="1" t="n"/>
      <c r="P486" s="1" t="n"/>
      <c r="Q486" s="16" t="n"/>
      <c r="R486" s="16" t="n"/>
      <c r="S486" s="16" t="n"/>
      <c r="T486" s="16" t="n"/>
      <c r="U486" s="16" t="n"/>
      <c r="V486" s="16" t="n"/>
      <c r="W486" s="16" t="n"/>
      <c r="X486" s="16" t="n"/>
      <c r="Y486" s="16" t="n"/>
      <c r="Z486" s="16" t="n"/>
    </row>
    <row r="487" ht="12.75" customHeight="1" s="588">
      <c r="A487" s="1" t="n"/>
      <c r="B487" s="1" t="n"/>
      <c r="C487" s="1" t="n"/>
      <c r="D487" s="1" t="n"/>
      <c r="E487" s="1" t="n"/>
      <c r="F487" s="1" t="n"/>
      <c r="G487" s="1" t="n"/>
      <c r="H487" s="1" t="n"/>
      <c r="I487" s="1" t="n"/>
      <c r="J487" s="1" t="n"/>
      <c r="K487" s="1" t="n"/>
      <c r="L487" s="1" t="n"/>
      <c r="M487" s="1" t="n"/>
      <c r="N487" s="1" t="n"/>
      <c r="O487" s="1" t="n"/>
      <c r="P487" s="1" t="n"/>
      <c r="Q487" s="16" t="n"/>
      <c r="R487" s="16" t="n"/>
      <c r="S487" s="16" t="n"/>
      <c r="T487" s="16" t="n"/>
      <c r="U487" s="16" t="n"/>
      <c r="V487" s="16" t="n"/>
      <c r="W487" s="16" t="n"/>
      <c r="X487" s="16" t="n"/>
      <c r="Y487" s="16" t="n"/>
      <c r="Z487" s="16" t="n"/>
    </row>
    <row r="488" ht="12.75" customHeight="1" s="588">
      <c r="A488" s="1" t="n"/>
      <c r="B488" s="1" t="n"/>
      <c r="C488" s="1" t="n"/>
      <c r="D488" s="1" t="n"/>
      <c r="E488" s="1" t="n"/>
      <c r="F488" s="1" t="n"/>
      <c r="G488" s="1" t="n"/>
      <c r="H488" s="1" t="n"/>
      <c r="I488" s="1" t="n"/>
      <c r="J488" s="1" t="n"/>
      <c r="K488" s="1" t="n"/>
      <c r="L488" s="1" t="n"/>
      <c r="M488" s="1" t="n"/>
      <c r="N488" s="1" t="n"/>
      <c r="O488" s="1" t="n"/>
      <c r="P488" s="1" t="n"/>
      <c r="Q488" s="16" t="n"/>
      <c r="R488" s="16" t="n"/>
      <c r="S488" s="16" t="n"/>
      <c r="T488" s="16" t="n"/>
      <c r="U488" s="16" t="n"/>
      <c r="V488" s="16" t="n"/>
      <c r="W488" s="16" t="n"/>
      <c r="X488" s="16" t="n"/>
      <c r="Y488" s="16" t="n"/>
      <c r="Z488" s="16" t="n"/>
    </row>
    <row r="489" ht="12.75" customHeight="1" s="588">
      <c r="A489" s="1" t="n"/>
      <c r="B489" s="1" t="n"/>
      <c r="C489" s="1" t="n"/>
      <c r="D489" s="1" t="n"/>
      <c r="E489" s="1" t="n"/>
      <c r="F489" s="1" t="n"/>
      <c r="G489" s="1" t="n"/>
      <c r="H489" s="1" t="n"/>
      <c r="I489" s="1" t="n"/>
      <c r="J489" s="1" t="n"/>
      <c r="K489" s="1" t="n"/>
      <c r="L489" s="1" t="n"/>
      <c r="M489" s="1" t="n"/>
      <c r="N489" s="1" t="n"/>
      <c r="O489" s="1" t="n"/>
      <c r="P489" s="1" t="n"/>
      <c r="Q489" s="16" t="n"/>
      <c r="R489" s="16" t="n"/>
      <c r="S489" s="16" t="n"/>
      <c r="T489" s="16" t="n"/>
      <c r="U489" s="16" t="n"/>
      <c r="V489" s="16" t="n"/>
      <c r="W489" s="16" t="n"/>
      <c r="X489" s="16" t="n"/>
      <c r="Y489" s="16" t="n"/>
      <c r="Z489" s="16" t="n"/>
    </row>
    <row r="490" ht="12.75" customHeight="1" s="588">
      <c r="A490" s="72" t="inlineStr">
        <is>
          <t>u.m.:</t>
        </is>
      </c>
      <c r="B490" s="75" t="inlineStr">
        <is>
          <t>Unidades Monetarias</t>
        </is>
      </c>
      <c r="C490" s="75" t="n"/>
      <c r="D490" s="75" t="n"/>
      <c r="E490" s="72" t="inlineStr">
        <is>
          <t>P.N.:</t>
        </is>
      </c>
      <c r="F490" s="75" t="inlineStr">
        <is>
          <t>Patrimonio Neto</t>
        </is>
      </c>
      <c r="G490" s="1" t="n"/>
      <c r="H490" s="72" t="inlineStr">
        <is>
          <t>C.:</t>
        </is>
      </c>
      <c r="I490" s="75" t="inlineStr">
        <is>
          <t>Corrientes</t>
        </is>
      </c>
      <c r="J490" s="72" t="n"/>
      <c r="K490" s="72" t="inlineStr">
        <is>
          <t>N.C.:</t>
        </is>
      </c>
      <c r="L490" s="75" t="inlineStr">
        <is>
          <t>No Corrientes</t>
        </is>
      </c>
      <c r="M490" s="72" t="n"/>
      <c r="N490" s="72" t="inlineStr">
        <is>
          <t>C.V.:</t>
        </is>
      </c>
      <c r="O490" s="75" t="inlineStr">
        <is>
          <t>Coste de Ventas</t>
        </is>
      </c>
      <c r="P490" s="1" t="n"/>
      <c r="Q490" s="16" t="n"/>
      <c r="R490" s="16" t="n"/>
      <c r="S490" s="16" t="n"/>
      <c r="T490" s="16" t="n"/>
      <c r="U490" s="16" t="n"/>
      <c r="V490" s="16" t="n"/>
      <c r="W490" s="16" t="n"/>
      <c r="X490" s="16" t="n"/>
      <c r="Y490" s="16" t="n"/>
      <c r="Z490" s="16" t="n"/>
    </row>
    <row r="491" ht="12.75" customHeight="1" s="588">
      <c r="A491" s="8" t="inlineStr">
        <is>
          <t>¿CUÁNTO Y CUÁNDO?</t>
        </is>
      </c>
      <c r="B491" s="1" t="n"/>
      <c r="C491" s="1" t="n"/>
      <c r="D491" s="1" t="n"/>
      <c r="E491" s="1" t="n"/>
      <c r="F491" s="1" t="n"/>
      <c r="G491" s="1" t="n"/>
      <c r="H491" s="1" t="n"/>
      <c r="I491" s="1" t="n"/>
      <c r="J491" s="185" t="n"/>
      <c r="K491" s="185" t="n"/>
      <c r="L491" s="1" t="n"/>
      <c r="M491" s="1" t="n"/>
      <c r="N491" s="1" t="n"/>
      <c r="O491" s="1" t="n"/>
      <c r="P491" s="185" t="inlineStr">
        <is>
          <t>Cronograma de Implantación</t>
        </is>
      </c>
      <c r="Q491" s="16" t="n"/>
      <c r="R491" s="16" t="n"/>
      <c r="S491" s="16" t="n"/>
      <c r="T491" s="16" t="n"/>
      <c r="U491" s="16" t="n"/>
      <c r="V491" s="16" t="n"/>
      <c r="W491" s="16" t="n"/>
      <c r="X491" s="16" t="n"/>
      <c r="Y491" s="16" t="n"/>
      <c r="Z491" s="16" t="n"/>
    </row>
    <row r="492" ht="12.75" customHeight="1" s="588">
      <c r="A492" s="8" t="n"/>
      <c r="B492" s="1" t="n"/>
      <c r="C492" s="1" t="n"/>
      <c r="D492" s="1" t="n"/>
      <c r="E492" s="1" t="n"/>
      <c r="F492" s="1" t="n"/>
      <c r="G492" s="1" t="n"/>
      <c r="H492" s="1" t="n"/>
      <c r="I492" s="1" t="n"/>
      <c r="J492" s="185" t="n"/>
      <c r="K492" s="185" t="n"/>
      <c r="L492" s="1" t="n"/>
      <c r="M492" s="1" t="n"/>
      <c r="N492" s="1" t="n"/>
      <c r="O492" s="1" t="n"/>
      <c r="P492" s="185" t="n"/>
      <c r="Q492" s="16" t="n"/>
      <c r="R492" s="16" t="n"/>
      <c r="S492" s="16" t="n"/>
      <c r="T492" s="16" t="n"/>
      <c r="U492" s="16" t="n"/>
      <c r="V492" s="16" t="n"/>
      <c r="W492" s="16" t="n"/>
      <c r="X492" s="16" t="n"/>
      <c r="Y492" s="16" t="n"/>
      <c r="Z492" s="16" t="n"/>
    </row>
    <row r="493" ht="12.75" customHeight="1" s="588">
      <c r="A493" s="1" t="n"/>
      <c r="B493" s="1" t="n"/>
      <c r="C493" s="1" t="n"/>
      <c r="D493" s="1" t="n"/>
      <c r="E493" s="1" t="n"/>
      <c r="F493" s="169" t="n"/>
      <c r="G493" s="169" t="n"/>
      <c r="H493" s="169" t="n"/>
      <c r="I493" s="169" t="n"/>
      <c r="J493" s="169" t="n"/>
      <c r="K493" s="1" t="n"/>
      <c r="L493" s="1" t="n"/>
      <c r="M493" s="1" t="n"/>
      <c r="N493" s="1" t="n"/>
      <c r="O493" s="1" t="n"/>
      <c r="P493" s="1" t="n"/>
      <c r="Q493" s="16" t="n"/>
      <c r="R493" s="16" t="n"/>
      <c r="S493" s="16" t="n"/>
      <c r="T493" s="16" t="n"/>
      <c r="U493" s="16" t="n"/>
      <c r="V493" s="16" t="n"/>
      <c r="W493" s="16" t="n"/>
      <c r="X493" s="16" t="n"/>
      <c r="Y493" s="16" t="n"/>
      <c r="Z493" s="16" t="n"/>
    </row>
    <row r="494" ht="12.75" customHeight="1" s="588">
      <c r="A494" s="1" t="n"/>
      <c r="B494" s="1" t="n"/>
      <c r="C494" s="1" t="n"/>
      <c r="D494" s="1" t="n"/>
      <c r="E494" s="827" t="inlineStr">
        <is>
          <t>CONDICIONANTES PARA EL INCIO:</t>
        </is>
      </c>
      <c r="F494" s="590" t="n"/>
      <c r="G494" s="590" t="n"/>
      <c r="H494" s="590" t="n"/>
      <c r="I494" s="828" t="inlineStr">
        <is>
          <t>Conseguir Clientes</t>
        </is>
      </c>
      <c r="J494" s="590" t="n"/>
      <c r="K494" s="590" t="n"/>
      <c r="L494" s="591" t="n"/>
      <c r="M494" s="1" t="n"/>
      <c r="N494" s="1" t="n"/>
      <c r="O494" s="1" t="n"/>
      <c r="P494" s="1" t="n"/>
      <c r="Q494" s="16" t="n"/>
      <c r="R494" s="16" t="n"/>
      <c r="S494" s="16" t="n"/>
      <c r="T494" s="16" t="n"/>
      <c r="U494" s="16" t="n"/>
      <c r="V494" s="16" t="n"/>
      <c r="W494" s="16" t="n"/>
      <c r="X494" s="16" t="n"/>
      <c r="Y494" s="16" t="n"/>
      <c r="Z494" s="16" t="n"/>
    </row>
    <row r="495" ht="12.75" customHeight="1" s="588">
      <c r="A495" s="1" t="n"/>
      <c r="B495" s="1" t="n"/>
      <c r="C495" s="1" t="n"/>
      <c r="D495" s="1" t="n"/>
      <c r="E495" s="1" t="n"/>
      <c r="F495" s="1" t="n"/>
      <c r="G495" s="1" t="n"/>
      <c r="H495" s="1" t="n"/>
      <c r="I495" s="1" t="n"/>
      <c r="J495" s="1" t="n"/>
      <c r="K495" s="1" t="n"/>
      <c r="L495" s="1" t="n"/>
      <c r="M495" s="1" t="n"/>
      <c r="N495" s="1" t="n"/>
      <c r="O495" s="1" t="n"/>
      <c r="P495" s="1" t="n"/>
      <c r="Q495" s="16" t="n"/>
      <c r="R495" s="16" t="n"/>
      <c r="S495" s="16" t="n"/>
      <c r="T495" s="16" t="n"/>
      <c r="U495" s="16" t="n"/>
      <c r="V495" s="16" t="n"/>
      <c r="W495" s="16" t="n"/>
      <c r="X495" s="16" t="n"/>
      <c r="Y495" s="16" t="n"/>
      <c r="Z495" s="16" t="n"/>
    </row>
    <row r="496" ht="12.75" customHeight="1" s="588">
      <c r="A496" s="1" t="n"/>
      <c r="B496" s="1" t="n"/>
      <c r="C496" s="1" t="n"/>
      <c r="D496" s="1" t="n"/>
      <c r="E496" s="1" t="n"/>
      <c r="F496" s="1" t="n"/>
      <c r="G496" s="1" t="n"/>
      <c r="H496" s="1" t="n"/>
      <c r="I496" s="1" t="n"/>
      <c r="J496" s="1" t="n"/>
      <c r="K496" s="1" t="n"/>
      <c r="L496" s="1" t="n"/>
      <c r="M496" s="1" t="n"/>
      <c r="N496" s="1" t="n"/>
      <c r="O496" s="1" t="n"/>
      <c r="P496" s="1" t="n"/>
      <c r="Q496" s="16" t="n"/>
      <c r="R496" s="16" t="n"/>
      <c r="S496" s="16" t="n"/>
      <c r="T496" s="16" t="n"/>
      <c r="U496" s="16" t="n"/>
      <c r="V496" s="16" t="n"/>
      <c r="W496" s="16" t="n"/>
      <c r="X496" s="16" t="n"/>
      <c r="Y496" s="16" t="n"/>
      <c r="Z496" s="16" t="n"/>
    </row>
    <row r="497" ht="12.75" customHeight="1" s="588">
      <c r="A497" s="1" t="n"/>
      <c r="B497" s="1" t="n"/>
      <c r="C497" s="1" t="n"/>
      <c r="D497" s="1" t="n"/>
      <c r="E497" s="283" t="inlineStr">
        <is>
          <t>FECHA ESTIMADA DE INICIO:</t>
        </is>
      </c>
      <c r="I497" s="1" t="n"/>
      <c r="J497" s="607" t="inlineStr">
        <is>
          <t>4T 2026</t>
        </is>
      </c>
      <c r="K497" s="591" t="n"/>
      <c r="L497" s="1" t="n"/>
      <c r="M497" s="1" t="n"/>
      <c r="N497" s="1" t="n"/>
      <c r="O497" s="1" t="n"/>
      <c r="P497" s="1" t="n"/>
      <c r="Q497" s="16" t="n"/>
      <c r="R497" s="16" t="n"/>
      <c r="S497" s="16" t="n"/>
      <c r="T497" s="16" t="n"/>
      <c r="U497" s="16" t="n"/>
      <c r="V497" s="16" t="n"/>
      <c r="W497" s="16" t="n"/>
      <c r="X497" s="16" t="n"/>
      <c r="Y497" s="16" t="n"/>
      <c r="Z497" s="16" t="n"/>
    </row>
    <row r="498" ht="12.75" customHeight="1" s="588">
      <c r="A498" s="1" t="n"/>
      <c r="B498" s="1" t="n"/>
      <c r="C498" s="1" t="n"/>
      <c r="D498" s="1" t="n"/>
      <c r="E498" s="1" t="n"/>
      <c r="F498" s="1" t="n"/>
      <c r="G498" s="1" t="n"/>
      <c r="H498" s="1" t="n"/>
      <c r="I498" s="1" t="n"/>
      <c r="J498" s="1" t="n"/>
      <c r="K498" s="1" t="n"/>
      <c r="L498" s="1" t="n"/>
      <c r="M498" s="1" t="n"/>
      <c r="N498" s="1" t="n"/>
      <c r="O498" s="1" t="n"/>
      <c r="P498" s="1" t="n"/>
      <c r="Q498" s="16" t="n"/>
      <c r="R498" s="16" t="n"/>
      <c r="S498" s="16" t="n"/>
      <c r="T498" s="16" t="n"/>
      <c r="U498" s="16" t="n"/>
      <c r="V498" s="16" t="n"/>
      <c r="W498" s="16" t="n"/>
      <c r="X498" s="16" t="n"/>
      <c r="Y498" s="16" t="n"/>
      <c r="Z498" s="16" t="n"/>
    </row>
    <row r="499" ht="12.75" customHeight="1" s="588">
      <c r="A499" s="1" t="n"/>
      <c r="B499" s="18" t="inlineStr">
        <is>
          <t>Principales Objetivos AÑO1</t>
        </is>
      </c>
      <c r="C499" s="1" t="n"/>
      <c r="D499" s="1" t="n"/>
      <c r="E499" s="1" t="n"/>
      <c r="F499" s="1" t="n"/>
      <c r="G499" s="1" t="n"/>
      <c r="H499" s="1" t="n"/>
      <c r="I499" s="1" t="n"/>
      <c r="J499" s="1" t="n"/>
      <c r="K499" s="1" t="n"/>
      <c r="L499" s="1" t="n"/>
      <c r="M499" s="1" t="n"/>
      <c r="N499" s="1" t="n"/>
      <c r="O499" s="1" t="n"/>
      <c r="P499" s="1" t="n"/>
      <c r="Q499" s="16" t="n"/>
      <c r="R499" s="16" t="n"/>
      <c r="S499" s="16" t="n"/>
      <c r="T499" s="16" t="n"/>
      <c r="U499" s="16" t="n"/>
      <c r="V499" s="16" t="n"/>
      <c r="W499" s="16" t="n"/>
      <c r="X499" s="16" t="n"/>
      <c r="Y499" s="16" t="n"/>
      <c r="Z499" s="16" t="n"/>
    </row>
    <row r="500" ht="12.75" customHeight="1" s="588">
      <c r="A500" s="1" t="n"/>
      <c r="B500" s="661" t="inlineStr">
        <is>
          <t>OBJETIVOS AÑO 1 (4T 2026 - 3T 2027)
1. Facturar 56.841 EUR, que es exactamente el punto de equilibrio con los dos socios retribuidos: el Año 1 no busca beneficio, busca pagar dos sueldos y no consumir capital.
2. Cerrar 29 proyectos (14 web esencial, 4 web profesional, 11 identidad gráfica).
3. Construir una cartera recurrente que cierre el año en 20 clientes de mantenimiento y 5 de SEO local: 27,5% de la facturación.
4. Publicar 8 casos locales con nombre y resultado.
5. Cerrar 3 acuerdos de prescripción (gestoría, imprenta y agencia) y adherirse como Agente Digitalizador.
6. Entrar en el vertical de bodegas DO Bierzo con al menos 1 proyecto de referencia.
7. Solicitar las subvenciones de consolidación del trabajo autónomo para los dos socios (Ayuntamiento de Ponferrada y CONSOLIDACYL).
8. Dejar firmado el pacto de socios antes de constituir la sociedad.</t>
        </is>
      </c>
      <c r="C500" s="593" t="n"/>
      <c r="D500" s="593" t="n"/>
      <c r="E500" s="593" t="n"/>
      <c r="F500" s="593" t="n"/>
      <c r="G500" s="593" t="n"/>
      <c r="H500" s="593" t="n"/>
      <c r="I500" s="593" t="n"/>
      <c r="J500" s="593" t="n"/>
      <c r="K500" s="593" t="n"/>
      <c r="L500" s="593" t="n"/>
      <c r="M500" s="593" t="n"/>
      <c r="N500" s="593" t="n"/>
      <c r="O500" s="594" t="n"/>
      <c r="P500" s="1" t="n"/>
      <c r="Q500" s="16" t="n"/>
      <c r="R500" s="16" t="n"/>
      <c r="S500" s="16" t="n"/>
      <c r="T500" s="16" t="n"/>
      <c r="U500" s="16" t="n"/>
      <c r="V500" s="16" t="n"/>
      <c r="W500" s="16" t="n"/>
      <c r="X500" s="16" t="n"/>
      <c r="Y500" s="16" t="n"/>
      <c r="Z500" s="16" t="n"/>
    </row>
    <row r="501" ht="12.75" customHeight="1" s="588">
      <c r="A501" s="1" t="n"/>
      <c r="B501" s="595" t="n"/>
      <c r="O501" s="596" t="n"/>
      <c r="P501" s="1" t="n"/>
      <c r="Q501" s="16" t="n"/>
      <c r="R501" s="16" t="n"/>
      <c r="S501" s="16" t="n"/>
      <c r="T501" s="16" t="n"/>
      <c r="U501" s="16" t="n"/>
      <c r="V501" s="16" t="n"/>
      <c r="W501" s="16" t="n"/>
      <c r="X501" s="16" t="n"/>
      <c r="Y501" s="16" t="n"/>
      <c r="Z501" s="16" t="n"/>
    </row>
    <row r="502" ht="12.75" customHeight="1" s="588">
      <c r="A502" s="1" t="n"/>
      <c r="B502" s="595" t="n"/>
      <c r="O502" s="596" t="n"/>
      <c r="P502" s="1" t="n"/>
      <c r="Q502" s="16" t="n"/>
      <c r="R502" s="16" t="n"/>
      <c r="S502" s="16" t="n"/>
      <c r="T502" s="16" t="n"/>
      <c r="U502" s="16" t="n"/>
      <c r="V502" s="16" t="n"/>
      <c r="W502" s="16" t="n"/>
      <c r="X502" s="16" t="n"/>
      <c r="Y502" s="16" t="n"/>
      <c r="Z502" s="16" t="n"/>
    </row>
    <row r="503" ht="12.75" customHeight="1" s="588">
      <c r="A503" s="1" t="n"/>
      <c r="B503" s="597" t="n"/>
      <c r="C503" s="598" t="n"/>
      <c r="D503" s="598" t="n"/>
      <c r="E503" s="598" t="n"/>
      <c r="F503" s="598" t="n"/>
      <c r="G503" s="598" t="n"/>
      <c r="H503" s="598" t="n"/>
      <c r="I503" s="598" t="n"/>
      <c r="J503" s="598" t="n"/>
      <c r="K503" s="598" t="n"/>
      <c r="L503" s="598" t="n"/>
      <c r="M503" s="598" t="n"/>
      <c r="N503" s="598" t="n"/>
      <c r="O503" s="599" t="n"/>
      <c r="P503" s="1" t="n"/>
      <c r="Q503" s="16" t="n"/>
      <c r="R503" s="16" t="n"/>
      <c r="S503" s="16" t="n"/>
      <c r="T503" s="16" t="n"/>
      <c r="U503" s="16" t="n"/>
      <c r="V503" s="16" t="n"/>
      <c r="W503" s="16" t="n"/>
      <c r="X503" s="16" t="n"/>
      <c r="Y503" s="16" t="n"/>
      <c r="Z503" s="16" t="n"/>
    </row>
    <row r="504" ht="12.75" customHeight="1" s="588">
      <c r="A504" s="1" t="n"/>
      <c r="B504" s="1" t="n"/>
      <c r="C504" s="1" t="n"/>
      <c r="D504" s="1" t="n"/>
      <c r="E504" s="1" t="n"/>
      <c r="F504" s="1" t="n"/>
      <c r="G504" s="1" t="n"/>
      <c r="H504" s="1" t="n"/>
      <c r="I504" s="1" t="n"/>
      <c r="J504" s="1" t="n"/>
      <c r="K504" s="1" t="n"/>
      <c r="L504" s="1" t="n"/>
      <c r="M504" s="1" t="n"/>
      <c r="N504" s="1" t="n"/>
      <c r="O504" s="1" t="n"/>
      <c r="P504" s="1" t="n"/>
      <c r="Q504" s="16" t="n"/>
      <c r="R504" s="16" t="n"/>
      <c r="S504" s="16" t="n"/>
      <c r="T504" s="16" t="n"/>
      <c r="U504" s="16" t="n"/>
      <c r="V504" s="16" t="n"/>
      <c r="W504" s="16" t="n"/>
      <c r="X504" s="16" t="n"/>
      <c r="Y504" s="16" t="n"/>
      <c r="Z504" s="16" t="n"/>
    </row>
    <row r="505" ht="12.75" customHeight="1" s="588">
      <c r="A505" s="1" t="n"/>
      <c r="B505" s="18" t="inlineStr">
        <is>
          <t>OBJETIVOS AÑO 2
1. Crecer un 30% hasta 73.893 EUR. El salto es mayor que el del Año 1 porque este arranca con la cartera recurrente ya instalada y con un año completo de actividad comercial, mientras el Año 1 carga con la rampa desde cero.
2. ABSORBER EL FIN DE LA TARIFA PLANA: el RETA de los dos socios pasa de 1.920 a unos 10.732 EUR anuales. Es el objetivo financiero crítico del ejercicio.
3. Subir el precio de la web esencial de 1.200 a 1.400 EUR apoyándose en el portfolio del Año 1.
4. Elevar el peso del ingreso recurrente al 31%: 32 clientes de mantenimiento y 9 de SEO local.
5. Primera contratación por cuenta ajena (perfil de producción, media jornada) para liberar el cuello de botella de entrega.
6. Consolidar el vertical de bodegas con 3 proyectos y el del Camino con 2.
7. Alcanzar el 70% de reutilización desde la biblioteca de componentes.</t>
        </is>
      </c>
      <c r="C505" s="1" t="n"/>
      <c r="D505" s="1" t="n"/>
      <c r="E505" s="1" t="n"/>
      <c r="F505" s="1" t="n"/>
      <c r="G505" s="1" t="n"/>
      <c r="H505" s="1" t="n"/>
      <c r="I505" s="1" t="n"/>
      <c r="J505" s="1" t="n"/>
      <c r="K505" s="1" t="n"/>
      <c r="L505" s="1" t="n"/>
      <c r="M505" s="1" t="n"/>
      <c r="N505" s="1" t="n"/>
      <c r="O505" s="1" t="n"/>
      <c r="P505" s="1" t="n"/>
      <c r="Q505" s="16" t="n"/>
      <c r="R505" s="16" t="n"/>
      <c r="S505" s="16" t="n"/>
      <c r="T505" s="16" t="n"/>
      <c r="U505" s="16" t="n"/>
      <c r="V505" s="16" t="n"/>
      <c r="W505" s="16" t="n"/>
      <c r="X505" s="16" t="n"/>
      <c r="Y505" s="16" t="n"/>
      <c r="Z505" s="16" t="n"/>
    </row>
    <row r="506" ht="12.75" customHeight="1" s="588">
      <c r="A506" s="1" t="n"/>
      <c r="B506" s="661" t="n"/>
      <c r="C506" s="593" t="n"/>
      <c r="D506" s="593" t="n"/>
      <c r="E506" s="593" t="n"/>
      <c r="F506" s="593" t="n"/>
      <c r="G506" s="593" t="n"/>
      <c r="H506" s="593" t="n"/>
      <c r="I506" s="593" t="n"/>
      <c r="J506" s="593" t="n"/>
      <c r="K506" s="593" t="n"/>
      <c r="L506" s="593" t="n"/>
      <c r="M506" s="593" t="n"/>
      <c r="N506" s="593" t="n"/>
      <c r="O506" s="594" t="n"/>
      <c r="P506" s="1" t="n"/>
      <c r="Q506" s="16" t="n"/>
      <c r="R506" s="16" t="n"/>
      <c r="S506" s="16" t="n"/>
      <c r="T506" s="16" t="n"/>
      <c r="U506" s="16" t="n"/>
      <c r="V506" s="16" t="n"/>
      <c r="W506" s="16" t="n"/>
      <c r="X506" s="16" t="n"/>
      <c r="Y506" s="16" t="n"/>
      <c r="Z506" s="16" t="n"/>
    </row>
    <row r="507" ht="12.75" customHeight="1" s="588">
      <c r="A507" s="1" t="n"/>
      <c r="B507" s="595" t="n"/>
      <c r="O507" s="596" t="n"/>
      <c r="P507" s="1" t="n"/>
      <c r="Q507" s="16" t="n"/>
      <c r="R507" s="16" t="n"/>
      <c r="S507" s="16" t="n"/>
      <c r="T507" s="16" t="n"/>
      <c r="U507" s="16" t="n"/>
      <c r="V507" s="16" t="n"/>
      <c r="W507" s="16" t="n"/>
      <c r="X507" s="16" t="n"/>
      <c r="Y507" s="16" t="n"/>
      <c r="Z507" s="16" t="n"/>
    </row>
    <row r="508" ht="12.75" customHeight="1" s="588">
      <c r="A508" s="1" t="n"/>
      <c r="B508" s="595" t="n"/>
      <c r="O508" s="596" t="n"/>
      <c r="P508" s="1" t="n"/>
      <c r="Q508" s="16" t="n"/>
      <c r="R508" s="16" t="n"/>
      <c r="S508" s="16" t="n"/>
      <c r="T508" s="16" t="n"/>
      <c r="U508" s="16" t="n"/>
      <c r="V508" s="16" t="n"/>
      <c r="W508" s="16" t="n"/>
      <c r="X508" s="16" t="n"/>
      <c r="Y508" s="16" t="n"/>
      <c r="Z508" s="16" t="n"/>
    </row>
    <row r="509" ht="12.75" customHeight="1" s="588">
      <c r="A509" s="1" t="n"/>
      <c r="B509" s="597" t="n"/>
      <c r="C509" s="598" t="n"/>
      <c r="D509" s="598" t="n"/>
      <c r="E509" s="598" t="n"/>
      <c r="F509" s="598" t="n"/>
      <c r="G509" s="598" t="n"/>
      <c r="H509" s="598" t="n"/>
      <c r="I509" s="598" t="n"/>
      <c r="J509" s="598" t="n"/>
      <c r="K509" s="598" t="n"/>
      <c r="L509" s="598" t="n"/>
      <c r="M509" s="598" t="n"/>
      <c r="N509" s="598" t="n"/>
      <c r="O509" s="599" t="n"/>
      <c r="P509" s="1" t="n"/>
      <c r="Q509" s="16" t="n"/>
      <c r="R509" s="16" t="n"/>
      <c r="S509" s="16" t="n"/>
      <c r="T509" s="16" t="n"/>
      <c r="U509" s="16" t="n"/>
      <c r="V509" s="16" t="n"/>
      <c r="W509" s="16" t="n"/>
      <c r="X509" s="16" t="n"/>
      <c r="Y509" s="16" t="n"/>
      <c r="Z509" s="16" t="n"/>
    </row>
    <row r="510" ht="12.75" customHeight="1" s="588">
      <c r="A510" s="1" t="n"/>
      <c r="B510" s="1" t="n"/>
      <c r="C510" s="1" t="n"/>
      <c r="D510" s="1" t="n"/>
      <c r="E510" s="1" t="n"/>
      <c r="F510" s="1" t="n"/>
      <c r="G510" s="1" t="n"/>
      <c r="H510" s="1" t="n"/>
      <c r="I510" s="1" t="n"/>
      <c r="J510" s="1" t="n"/>
      <c r="K510" s="1" t="n"/>
      <c r="L510" s="1" t="n"/>
      <c r="M510" s="1" t="n"/>
      <c r="N510" s="1" t="n"/>
      <c r="O510" s="1" t="n"/>
      <c r="P510" s="1" t="n"/>
      <c r="Q510" s="16" t="n"/>
      <c r="R510" s="16" t="n"/>
      <c r="S510" s="16" t="n"/>
      <c r="T510" s="16" t="n"/>
      <c r="U510" s="16" t="n"/>
      <c r="V510" s="16" t="n"/>
      <c r="W510" s="16" t="n"/>
      <c r="X510" s="16" t="n"/>
      <c r="Y510" s="16" t="n"/>
      <c r="Z510" s="16" t="n"/>
    </row>
    <row r="511" ht="12.75" customHeight="1" s="588">
      <c r="A511" s="1" t="n"/>
      <c r="B511" s="18" t="inlineStr">
        <is>
          <t>OBJETIVOS AÑO 3
1. Crecer un 20% hasta 88.672 EUR y cerrar con un beneficio neto en torno a 11.400 EUR, ya por encima de las retribuciones de los socios.
2. Ingreso recurrente en el 35% de la facturación: base estable que cubre la estructura fija completa.
3. Ampliar el empleado a jornada completa o incorporar un segundo perfil.
4. Ser el proveedor de referencia en presencia digital de la DO Bierzo.
5. Lanzar el servicio de optimización para asistentes de IA como línea propia.
6. Revisar al alza la retribución de los socios, que en los dos primeros ejercicios se ha mantenido deliberadamente por debajo de mercado.
7. Mantener una tesorería equivalente a 4 meses de estructura fija.</t>
        </is>
      </c>
      <c r="C511" s="1" t="n"/>
      <c r="D511" s="1" t="n"/>
      <c r="E511" s="1" t="n"/>
      <c r="F511" s="1" t="n"/>
      <c r="G511" s="1" t="n"/>
      <c r="H511" s="1" t="n"/>
      <c r="I511" s="1" t="n"/>
      <c r="J511" s="1" t="n"/>
      <c r="K511" s="1" t="n"/>
      <c r="L511" s="1" t="n"/>
      <c r="M511" s="1" t="n"/>
      <c r="N511" s="1" t="n"/>
      <c r="O511" s="1" t="n"/>
      <c r="P511" s="1" t="n"/>
      <c r="Q511" s="16" t="n"/>
      <c r="R511" s="16" t="n"/>
      <c r="S511" s="16" t="n"/>
      <c r="T511" s="16" t="n"/>
      <c r="U511" s="16" t="n"/>
      <c r="V511" s="16" t="n"/>
      <c r="W511" s="16" t="n"/>
      <c r="X511" s="16" t="n"/>
      <c r="Y511" s="16" t="n"/>
      <c r="Z511" s="16" t="n"/>
    </row>
    <row r="512" ht="12.75" customHeight="1" s="588">
      <c r="A512" s="1" t="n"/>
      <c r="B512" s="661" t="n"/>
      <c r="C512" s="593" t="n"/>
      <c r="D512" s="593" t="n"/>
      <c r="E512" s="593" t="n"/>
      <c r="F512" s="593" t="n"/>
      <c r="G512" s="593" t="n"/>
      <c r="H512" s="593" t="n"/>
      <c r="I512" s="593" t="n"/>
      <c r="J512" s="593" t="n"/>
      <c r="K512" s="593" t="n"/>
      <c r="L512" s="593" t="n"/>
      <c r="M512" s="593" t="n"/>
      <c r="N512" s="593" t="n"/>
      <c r="O512" s="594" t="n"/>
      <c r="P512" s="1" t="n"/>
      <c r="Q512" s="16" t="n"/>
      <c r="R512" s="16" t="n"/>
      <c r="S512" s="16" t="n"/>
      <c r="T512" s="16" t="n"/>
      <c r="U512" s="16" t="n"/>
      <c r="V512" s="16" t="n"/>
      <c r="W512" s="16" t="n"/>
      <c r="X512" s="16" t="n"/>
      <c r="Y512" s="16" t="n"/>
      <c r="Z512" s="16" t="n"/>
    </row>
    <row r="513" ht="12.75" customHeight="1" s="588">
      <c r="A513" s="1" t="n"/>
      <c r="B513" s="595" t="n"/>
      <c r="O513" s="596" t="n"/>
      <c r="P513" s="1" t="n"/>
      <c r="Q513" s="16" t="n"/>
      <c r="R513" s="16" t="n"/>
      <c r="S513" s="16" t="n"/>
      <c r="T513" s="16" t="n"/>
      <c r="U513" s="16" t="n"/>
      <c r="V513" s="16" t="n"/>
      <c r="W513" s="16" t="n"/>
      <c r="X513" s="16" t="n"/>
      <c r="Y513" s="16" t="n"/>
      <c r="Z513" s="16" t="n"/>
    </row>
    <row r="514" ht="12.75" customHeight="1" s="588">
      <c r="A514" s="1" t="n"/>
      <c r="B514" s="595" t="n"/>
      <c r="O514" s="596" t="n"/>
      <c r="P514" s="1" t="n"/>
      <c r="Q514" s="16" t="n"/>
      <c r="R514" s="16" t="n"/>
      <c r="S514" s="16" t="n"/>
      <c r="T514" s="16" t="n"/>
      <c r="U514" s="16" t="n"/>
      <c r="V514" s="16" t="n"/>
      <c r="W514" s="16" t="n"/>
      <c r="X514" s="16" t="n"/>
      <c r="Y514" s="16" t="n"/>
      <c r="Z514" s="16" t="n"/>
    </row>
    <row r="515" ht="12.75" customHeight="1" s="588">
      <c r="A515" s="1" t="n"/>
      <c r="B515" s="597" t="n"/>
      <c r="C515" s="598" t="n"/>
      <c r="D515" s="598" t="n"/>
      <c r="E515" s="598" t="n"/>
      <c r="F515" s="598" t="n"/>
      <c r="G515" s="598" t="n"/>
      <c r="H515" s="598" t="n"/>
      <c r="I515" s="598" t="n"/>
      <c r="J515" s="598" t="n"/>
      <c r="K515" s="598" t="n"/>
      <c r="L515" s="598" t="n"/>
      <c r="M515" s="598" t="n"/>
      <c r="N515" s="598" t="n"/>
      <c r="O515" s="599" t="n"/>
      <c r="P515" s="1" t="n"/>
      <c r="Q515" s="16" t="n"/>
      <c r="R515" s="16" t="n"/>
      <c r="S515" s="16" t="n"/>
      <c r="T515" s="16" t="n"/>
      <c r="U515" s="16" t="n"/>
      <c r="V515" s="16" t="n"/>
      <c r="W515" s="16" t="n"/>
      <c r="X515" s="16" t="n"/>
      <c r="Y515" s="16" t="n"/>
      <c r="Z515" s="16" t="n"/>
    </row>
    <row r="516" hidden="1" ht="12.75" customHeight="1" s="588">
      <c r="A516" s="1" t="inlineStr">
        <is>
          <t>Ninguno</t>
        </is>
      </c>
      <c r="B516" s="1" t="n"/>
      <c r="C516" s="1" t="n"/>
      <c r="D516" s="1" t="n"/>
      <c r="E516" s="1" t="n"/>
      <c r="F516" s="1" t="n"/>
      <c r="G516" s="1" t="n"/>
      <c r="H516" s="1" t="n"/>
      <c r="I516" s="1" t="n"/>
      <c r="J516" s="1" t="n"/>
      <c r="K516" s="1" t="n"/>
      <c r="L516" s="1" t="n"/>
      <c r="M516" s="1" t="n"/>
      <c r="N516" s="1" t="n"/>
      <c r="O516" s="1" t="n"/>
      <c r="P516" s="1" t="n"/>
      <c r="Q516" s="16" t="n"/>
      <c r="R516" s="16" t="n"/>
      <c r="S516" s="16" t="n"/>
      <c r="T516" s="16" t="n"/>
      <c r="U516" s="16" t="n"/>
      <c r="V516" s="16" t="n"/>
      <c r="W516" s="16" t="n"/>
      <c r="X516" s="16" t="n"/>
      <c r="Y516" s="16" t="n"/>
      <c r="Z516" s="16" t="n"/>
    </row>
    <row r="517" hidden="1" ht="12.75" customHeight="1" s="588">
      <c r="A517" s="1" t="inlineStr">
        <is>
          <t>Conseguir Socios</t>
        </is>
      </c>
      <c r="B517" s="1" t="n"/>
      <c r="C517" s="1" t="n"/>
      <c r="D517" s="1" t="n"/>
      <c r="E517" s="1" t="n"/>
      <c r="F517" s="1" t="n"/>
      <c r="G517" s="1" t="n"/>
      <c r="H517" s="1" t="n"/>
      <c r="I517" s="1" t="n"/>
      <c r="J517" s="1" t="n"/>
      <c r="K517" s="1" t="n"/>
      <c r="L517" s="1" t="n"/>
      <c r="M517" s="1" t="n"/>
      <c r="N517" s="1" t="n"/>
      <c r="O517" s="1" t="n"/>
      <c r="P517" s="1" t="n"/>
      <c r="Q517" s="16" t="n"/>
      <c r="R517" s="16" t="n"/>
      <c r="S517" s="16" t="n"/>
      <c r="T517" s="16" t="n"/>
      <c r="U517" s="16" t="n"/>
      <c r="V517" s="16" t="n"/>
      <c r="W517" s="16" t="n"/>
      <c r="X517" s="16" t="n"/>
      <c r="Y517" s="16" t="n"/>
      <c r="Z517" s="16" t="n"/>
    </row>
    <row r="518" hidden="1" ht="12.75" customHeight="1" s="588">
      <c r="A518" s="1" t="inlineStr">
        <is>
          <t>Obtener Financiación</t>
        </is>
      </c>
      <c r="B518" s="1" t="n"/>
      <c r="C518" s="1" t="n"/>
      <c r="D518" s="1" t="n"/>
      <c r="E518" s="1" t="n"/>
      <c r="F518" s="1" t="n"/>
      <c r="G518" s="1" t="n"/>
      <c r="H518" s="1" t="n"/>
      <c r="I518" s="1" t="n"/>
      <c r="J518" s="1" t="n"/>
      <c r="K518" s="1" t="n"/>
      <c r="L518" s="1" t="n"/>
      <c r="M518" s="1" t="n"/>
      <c r="N518" s="1" t="n"/>
      <c r="O518" s="1" t="n"/>
      <c r="P518" s="1" t="n"/>
      <c r="Q518" s="16" t="n"/>
      <c r="R518" s="16" t="n"/>
      <c r="S518" s="16" t="n"/>
      <c r="T518" s="16" t="n"/>
      <c r="U518" s="16" t="n"/>
      <c r="V518" s="16" t="n"/>
      <c r="W518" s="16" t="n"/>
      <c r="X518" s="16" t="n"/>
      <c r="Y518" s="16" t="n"/>
      <c r="Z518" s="16" t="n"/>
    </row>
    <row r="519" hidden="1" ht="12.75" customHeight="1" s="588">
      <c r="A519" s="1" t="inlineStr">
        <is>
          <t>Localizar el Local adecuado</t>
        </is>
      </c>
      <c r="B519" s="1" t="n"/>
      <c r="C519" s="1" t="n"/>
      <c r="D519" s="1" t="n"/>
      <c r="E519" s="1" t="n"/>
      <c r="F519" s="1" t="n"/>
      <c r="G519" s="1" t="n"/>
      <c r="H519" s="1" t="n"/>
      <c r="I519" s="1" t="n"/>
      <c r="J519" s="1" t="n"/>
      <c r="K519" s="1" t="n"/>
      <c r="L519" s="1" t="n"/>
      <c r="M519" s="1" t="n"/>
      <c r="N519" s="1" t="n"/>
      <c r="O519" s="1" t="n"/>
      <c r="P519" s="1" t="n"/>
      <c r="Q519" s="16" t="n"/>
      <c r="R519" s="16" t="n"/>
      <c r="S519" s="16" t="n"/>
      <c r="T519" s="16" t="n"/>
      <c r="U519" s="16" t="n"/>
      <c r="V519" s="16" t="n"/>
      <c r="W519" s="16" t="n"/>
      <c r="X519" s="16" t="n"/>
      <c r="Y519" s="16" t="n"/>
      <c r="Z519" s="16" t="n"/>
    </row>
    <row r="520" hidden="1" ht="12.75" customHeight="1" s="588">
      <c r="A520" s="1" t="inlineStr">
        <is>
          <t>Identificar Proveedores</t>
        </is>
      </c>
      <c r="B520" s="1" t="n"/>
      <c r="C520" s="1" t="n"/>
      <c r="D520" s="1" t="n"/>
      <c r="E520" s="1" t="n"/>
      <c r="F520" s="1" t="n"/>
      <c r="G520" s="1" t="n"/>
      <c r="H520" s="1" t="n"/>
      <c r="I520" s="1" t="n"/>
      <c r="J520" s="1" t="n"/>
      <c r="K520" s="1" t="n"/>
      <c r="L520" s="1" t="n"/>
      <c r="M520" s="1" t="n"/>
      <c r="N520" s="1" t="n"/>
      <c r="O520" s="1" t="n"/>
      <c r="P520" s="1" t="n"/>
      <c r="Q520" s="16" t="n"/>
      <c r="R520" s="16" t="n"/>
      <c r="S520" s="16" t="n"/>
      <c r="T520" s="16" t="n"/>
      <c r="U520" s="16" t="n"/>
      <c r="V520" s="16" t="n"/>
      <c r="W520" s="16" t="n"/>
      <c r="X520" s="16" t="n"/>
      <c r="Y520" s="16" t="n"/>
      <c r="Z520" s="16" t="n"/>
    </row>
    <row r="521" hidden="1" ht="12.75" customHeight="1" s="588">
      <c r="A521" s="1" t="inlineStr">
        <is>
          <t>Negociar Canal de Distribución</t>
        </is>
      </c>
      <c r="B521" s="1" t="n"/>
      <c r="C521" s="1" t="n"/>
      <c r="D521" s="1" t="n"/>
      <c r="E521" s="1" t="n"/>
      <c r="F521" s="1" t="n"/>
      <c r="G521" s="1" t="n"/>
      <c r="H521" s="1" t="n"/>
      <c r="I521" s="1" t="n"/>
      <c r="J521" s="1" t="n"/>
      <c r="K521" s="1" t="n"/>
      <c r="L521" s="1" t="n"/>
      <c r="M521" s="1" t="n"/>
      <c r="N521" s="1" t="n"/>
      <c r="O521" s="1" t="n"/>
      <c r="P521" s="1" t="n"/>
      <c r="Q521" s="16" t="n"/>
      <c r="R521" s="16" t="n"/>
      <c r="S521" s="16" t="n"/>
      <c r="T521" s="16" t="n"/>
      <c r="U521" s="16" t="n"/>
      <c r="V521" s="16" t="n"/>
      <c r="W521" s="16" t="n"/>
      <c r="X521" s="16" t="n"/>
      <c r="Y521" s="16" t="n"/>
      <c r="Z521" s="16" t="n"/>
    </row>
    <row r="522" hidden="1" ht="12.75" customHeight="1" s="588">
      <c r="A522" s="1" t="inlineStr">
        <is>
          <t>Conseguir Clientes</t>
        </is>
      </c>
      <c r="B522" s="1" t="n"/>
      <c r="C522" s="1" t="n"/>
      <c r="D522" s="1" t="n"/>
      <c r="E522" s="1" t="n"/>
      <c r="F522" s="1" t="n"/>
      <c r="G522" s="1" t="n"/>
      <c r="H522" s="1" t="n"/>
      <c r="I522" s="1" t="n"/>
      <c r="J522" s="1" t="n"/>
      <c r="K522" s="1" t="n"/>
      <c r="L522" s="1" t="n"/>
      <c r="M522" s="1" t="n"/>
      <c r="N522" s="1" t="n"/>
      <c r="O522" s="1" t="n"/>
      <c r="P522" s="1" t="n"/>
      <c r="Q522" s="16" t="n"/>
      <c r="R522" s="16" t="n"/>
      <c r="S522" s="16" t="n"/>
      <c r="T522" s="16" t="n"/>
      <c r="U522" s="16" t="n"/>
      <c r="V522" s="16" t="n"/>
      <c r="W522" s="16" t="n"/>
      <c r="X522" s="16" t="n"/>
      <c r="Y522" s="16" t="n"/>
      <c r="Z522" s="16" t="n"/>
    </row>
    <row r="523" hidden="1" ht="12.75" customHeight="1" s="588">
      <c r="A523" s="1" t="inlineStr">
        <is>
          <t>Contratar Personal cualificado</t>
        </is>
      </c>
      <c r="B523" s="1" t="n"/>
      <c r="C523" s="1" t="n"/>
      <c r="D523" s="1" t="n"/>
      <c r="E523" s="1" t="n"/>
      <c r="F523" s="1" t="n"/>
      <c r="G523" s="1" t="n"/>
      <c r="H523" s="1" t="n"/>
      <c r="I523" s="1" t="n"/>
      <c r="J523" s="1" t="n"/>
      <c r="K523" s="1" t="n"/>
      <c r="L523" s="1" t="n"/>
      <c r="M523" s="1" t="n"/>
      <c r="N523" s="1" t="n"/>
      <c r="O523" s="1" t="n"/>
      <c r="P523" s="1" t="n"/>
      <c r="Q523" s="16" t="n"/>
      <c r="R523" s="16" t="n"/>
      <c r="S523" s="16" t="n"/>
      <c r="T523" s="16" t="n"/>
      <c r="U523" s="16" t="n"/>
      <c r="V523" s="16" t="n"/>
      <c r="W523" s="16" t="n"/>
      <c r="X523" s="16" t="n"/>
      <c r="Y523" s="16" t="n"/>
      <c r="Z523" s="16" t="n"/>
    </row>
    <row r="524" ht="12.75" customHeight="1" s="588">
      <c r="A524" s="1" t="n"/>
      <c r="B524" s="1" t="n"/>
      <c r="C524" s="1" t="n"/>
      <c r="D524" s="1" t="n"/>
      <c r="E524" s="1" t="n"/>
      <c r="F524" s="1" t="n"/>
      <c r="G524" s="1" t="n"/>
      <c r="H524" s="1" t="n"/>
      <c r="I524" s="1" t="n"/>
      <c r="J524" s="1" t="n"/>
      <c r="K524" s="1" t="n"/>
      <c r="L524" s="1" t="n"/>
      <c r="M524" s="1" t="n"/>
      <c r="N524" s="1" t="n"/>
      <c r="O524" s="1" t="n"/>
      <c r="P524" s="1" t="n"/>
      <c r="Q524" s="16" t="n"/>
      <c r="R524" s="16" t="n"/>
      <c r="S524" s="16" t="n"/>
      <c r="T524" s="16" t="n"/>
      <c r="U524" s="16" t="n"/>
      <c r="V524" s="16" t="n"/>
      <c r="W524" s="16" t="n"/>
      <c r="X524" s="16" t="n"/>
      <c r="Y524" s="16" t="n"/>
      <c r="Z524" s="16" t="n"/>
    </row>
    <row r="525" ht="12.75" customHeight="1" s="588">
      <c r="A525" s="1" t="n"/>
      <c r="B525" s="1" t="n"/>
      <c r="C525" s="1" t="n"/>
      <c r="D525" s="1" t="n"/>
      <c r="E525" s="1" t="n"/>
      <c r="F525" s="1" t="n"/>
      <c r="G525" s="1" t="n"/>
      <c r="H525" s="1" t="n"/>
      <c r="I525" s="1" t="n"/>
      <c r="J525" s="1" t="n"/>
      <c r="K525" s="1" t="n"/>
      <c r="L525" s="1" t="n"/>
      <c r="M525" s="1" t="n"/>
      <c r="N525" s="1" t="n"/>
      <c r="O525" s="1" t="n"/>
      <c r="P525" s="1" t="n"/>
      <c r="Q525" s="16" t="n"/>
      <c r="R525" s="16" t="n"/>
      <c r="S525" s="16" t="n"/>
      <c r="T525" s="16" t="n"/>
      <c r="U525" s="16" t="n"/>
      <c r="V525" s="16" t="n"/>
      <c r="W525" s="16" t="n"/>
      <c r="X525" s="16" t="n"/>
      <c r="Y525" s="16" t="n"/>
      <c r="Z525" s="16" t="n"/>
    </row>
    <row r="526" ht="12.75" customHeight="1" s="588">
      <c r="A526" s="1" t="n"/>
      <c r="B526" s="1" t="n"/>
      <c r="C526" s="1" t="n"/>
      <c r="D526" s="1" t="n"/>
      <c r="E526" s="1" t="n"/>
      <c r="F526" s="1" t="n"/>
      <c r="G526" s="1" t="n"/>
      <c r="H526" s="1" t="n"/>
      <c r="I526" s="1" t="n"/>
      <c r="J526" s="1" t="n"/>
      <c r="K526" s="1" t="n"/>
      <c r="L526" s="1" t="n"/>
      <c r="M526" s="1" t="n"/>
      <c r="N526" s="1" t="n"/>
      <c r="O526" s="1" t="n"/>
      <c r="P526" s="1" t="n"/>
      <c r="Q526" s="16" t="n"/>
      <c r="R526" s="16" t="n"/>
      <c r="S526" s="16" t="n"/>
      <c r="T526" s="16" t="n"/>
      <c r="U526" s="16" t="n"/>
      <c r="V526" s="16" t="n"/>
      <c r="W526" s="16" t="n"/>
      <c r="X526" s="16" t="n"/>
      <c r="Y526" s="16" t="n"/>
      <c r="Z526" s="16" t="n"/>
    </row>
    <row r="527" ht="12.75" customHeight="1" s="588">
      <c r="A527" s="1" t="n"/>
      <c r="B527" s="1" t="n"/>
      <c r="C527" s="1" t="n"/>
      <c r="D527" s="1" t="n"/>
      <c r="E527" s="1" t="n"/>
      <c r="F527" s="1" t="n"/>
      <c r="G527" s="1" t="n"/>
      <c r="H527" s="1" t="n"/>
      <c r="I527" s="1" t="n"/>
      <c r="J527" s="1" t="n"/>
      <c r="K527" s="1" t="n"/>
      <c r="L527" s="1" t="n"/>
      <c r="M527" s="1" t="n"/>
      <c r="N527" s="1" t="n"/>
      <c r="O527" s="1" t="n"/>
      <c r="P527" s="1" t="n"/>
      <c r="Q527" s="16" t="n"/>
      <c r="R527" s="16" t="n"/>
      <c r="S527" s="16" t="n"/>
      <c r="T527" s="16" t="n"/>
      <c r="U527" s="16" t="n"/>
      <c r="V527" s="16" t="n"/>
      <c r="W527" s="16" t="n"/>
      <c r="X527" s="16" t="n"/>
      <c r="Y527" s="16" t="n"/>
      <c r="Z527" s="16" t="n"/>
    </row>
    <row r="528" ht="12.75" customHeight="1" s="588">
      <c r="A528" s="1" t="n"/>
      <c r="B528" s="1" t="n"/>
      <c r="C528" s="1" t="n"/>
      <c r="D528" s="1" t="n"/>
      <c r="E528" s="1" t="n"/>
      <c r="F528" s="1" t="n"/>
      <c r="G528" s="1" t="n"/>
      <c r="H528" s="1" t="n"/>
      <c r="I528" s="1" t="n"/>
      <c r="J528" s="1" t="n"/>
      <c r="K528" s="1" t="n"/>
      <c r="L528" s="1" t="n"/>
      <c r="M528" s="1" t="n"/>
      <c r="N528" s="1" t="n"/>
      <c r="O528" s="1" t="n"/>
      <c r="P528" s="1" t="n"/>
      <c r="Q528" s="16" t="n"/>
      <c r="R528" s="16" t="n"/>
      <c r="S528" s="16" t="n"/>
      <c r="T528" s="16" t="n"/>
      <c r="U528" s="16" t="n"/>
      <c r="V528" s="16" t="n"/>
      <c r="W528" s="16" t="n"/>
      <c r="X528" s="16" t="n"/>
      <c r="Y528" s="16" t="n"/>
      <c r="Z528" s="16" t="n"/>
    </row>
    <row r="529" ht="12.75" customHeight="1" s="588">
      <c r="A529" s="1" t="n"/>
      <c r="B529" s="1" t="n"/>
      <c r="C529" s="1" t="n"/>
      <c r="D529" s="1" t="n"/>
      <c r="E529" s="1" t="n"/>
      <c r="F529" s="1" t="n"/>
      <c r="G529" s="1" t="n"/>
      <c r="H529" s="1" t="n"/>
      <c r="I529" s="1" t="n"/>
      <c r="J529" s="1" t="n"/>
      <c r="K529" s="1" t="n"/>
      <c r="L529" s="1" t="n"/>
      <c r="M529" s="1" t="n"/>
      <c r="N529" s="1" t="n"/>
      <c r="O529" s="1" t="n"/>
      <c r="P529" s="1" t="n"/>
      <c r="Q529" s="16" t="n"/>
      <c r="R529" s="16" t="n"/>
      <c r="S529" s="16" t="n"/>
      <c r="T529" s="16" t="n"/>
      <c r="U529" s="16" t="n"/>
      <c r="V529" s="16" t="n"/>
      <c r="W529" s="16" t="n"/>
      <c r="X529" s="16" t="n"/>
      <c r="Y529" s="16" t="n"/>
      <c r="Z529" s="16" t="n"/>
    </row>
    <row r="530" ht="12.75" customHeight="1" s="588">
      <c r="A530" s="1" t="n"/>
      <c r="B530" s="1" t="n"/>
      <c r="C530" s="1" t="n"/>
      <c r="D530" s="1" t="n"/>
      <c r="E530" s="1" t="n"/>
      <c r="F530" s="1" t="n"/>
      <c r="G530" s="1" t="n"/>
      <c r="H530" s="1" t="n"/>
      <c r="I530" s="1" t="n"/>
      <c r="J530" s="1" t="n"/>
      <c r="K530" s="1" t="n"/>
      <c r="L530" s="1" t="n"/>
      <c r="M530" s="1" t="n"/>
      <c r="N530" s="1" t="n"/>
      <c r="O530" s="1" t="n"/>
      <c r="P530" s="1" t="n"/>
      <c r="Q530" s="16" t="n"/>
      <c r="R530" s="16" t="n"/>
      <c r="S530" s="16" t="n"/>
      <c r="T530" s="16" t="n"/>
      <c r="U530" s="16" t="n"/>
      <c r="V530" s="16" t="n"/>
      <c r="W530" s="16" t="n"/>
      <c r="X530" s="16" t="n"/>
      <c r="Y530" s="16" t="n"/>
      <c r="Z530" s="16" t="n"/>
    </row>
    <row r="531" ht="12.75" customHeight="1" s="588">
      <c r="A531" s="1" t="n"/>
      <c r="B531" s="1" t="n"/>
      <c r="C531" s="1" t="n"/>
      <c r="D531" s="1" t="n"/>
      <c r="E531" s="1" t="n"/>
      <c r="F531" s="1" t="n"/>
      <c r="G531" s="1" t="n"/>
      <c r="H531" s="1" t="n"/>
      <c r="I531" s="1" t="n"/>
      <c r="J531" s="1" t="n"/>
      <c r="K531" s="1" t="n"/>
      <c r="L531" s="1" t="n"/>
      <c r="M531" s="1" t="n"/>
      <c r="N531" s="1" t="n"/>
      <c r="O531" s="1" t="n"/>
      <c r="P531" s="1" t="n"/>
      <c r="Q531" s="16" t="n"/>
      <c r="R531" s="16" t="n"/>
      <c r="S531" s="16" t="n"/>
      <c r="T531" s="16" t="n"/>
      <c r="U531" s="16" t="n"/>
      <c r="V531" s="16" t="n"/>
      <c r="W531" s="16" t="n"/>
      <c r="X531" s="16" t="n"/>
      <c r="Y531" s="16" t="n"/>
      <c r="Z531" s="16" t="n"/>
    </row>
    <row r="532" ht="12.75" customHeight="1" s="588">
      <c r="A532" s="8" t="inlineStr">
        <is>
          <t>¿CUÁNTO Y CUÁNDO?</t>
        </is>
      </c>
      <c r="B532" s="1" t="n"/>
      <c r="C532" s="1" t="n"/>
      <c r="D532" s="1" t="n"/>
      <c r="E532" s="1" t="n"/>
      <c r="F532" s="1" t="n"/>
      <c r="G532" s="1" t="n"/>
      <c r="H532" s="1" t="n"/>
      <c r="I532" s="1" t="n"/>
      <c r="J532" s="1" t="n"/>
      <c r="K532" s="1" t="n"/>
      <c r="L532" s="1" t="n"/>
      <c r="M532" s="1" t="n"/>
      <c r="N532" s="1" t="n"/>
      <c r="O532" s="1" t="n"/>
      <c r="P532" s="1" t="n"/>
      <c r="Q532" s="16" t="n"/>
      <c r="R532" s="16" t="n"/>
      <c r="S532" s="16" t="n"/>
      <c r="T532" s="16" t="n"/>
      <c r="U532" s="16" t="n"/>
      <c r="V532" s="16" t="n"/>
      <c r="W532" s="16" t="n"/>
      <c r="X532" s="16" t="n"/>
      <c r="Y532" s="16" t="n"/>
      <c r="Z532" s="16" t="n"/>
    </row>
    <row r="533" ht="12.75" customHeight="1" s="588">
      <c r="A533" s="1" t="n"/>
      <c r="B533" s="1" t="n"/>
      <c r="C533" s="1" t="n"/>
      <c r="D533" s="1" t="n"/>
      <c r="E533" s="1" t="n"/>
      <c r="F533" s="1" t="n"/>
      <c r="G533" s="1" t="n"/>
      <c r="H533" s="1" t="n"/>
      <c r="I533" s="1" t="n"/>
      <c r="J533" s="1" t="n"/>
      <c r="K533" s="1" t="n"/>
      <c r="L533" s="1" t="n"/>
      <c r="M533" s="1" t="n"/>
      <c r="N533" s="1" t="n"/>
      <c r="O533" s="1" t="n"/>
      <c r="P533" s="1" t="n"/>
      <c r="Q533" s="16" t="n"/>
      <c r="R533" s="16" t="n"/>
      <c r="S533" s="16" t="n"/>
      <c r="T533" s="16" t="n"/>
      <c r="U533" s="16" t="n"/>
      <c r="V533" s="16" t="n"/>
      <c r="W533" s="16" t="n"/>
      <c r="X533" s="16" t="n"/>
      <c r="Y533" s="16" t="n"/>
      <c r="Z533" s="16" t="n"/>
    </row>
    <row r="534" ht="12.75" customHeight="1" s="588">
      <c r="A534" s="1" t="n"/>
      <c r="B534" s="1" t="n"/>
      <c r="C534" s="1" t="n"/>
      <c r="D534" s="1" t="n"/>
      <c r="E534" s="1" t="n"/>
      <c r="F534" s="1" t="n"/>
      <c r="G534" s="1" t="n"/>
      <c r="H534" s="1" t="n"/>
      <c r="I534" s="1" t="n"/>
      <c r="J534" s="1" t="n"/>
      <c r="K534" s="1" t="n"/>
      <c r="L534" s="1" t="n"/>
      <c r="M534" s="1" t="n"/>
      <c r="N534" s="1" t="n"/>
      <c r="O534" s="1" t="n"/>
      <c r="P534" s="1" t="n"/>
      <c r="Q534" s="16" t="n"/>
      <c r="R534" s="16" t="n"/>
      <c r="S534" s="16" t="n"/>
      <c r="T534" s="16" t="n"/>
      <c r="U534" s="16" t="n"/>
      <c r="V534" s="16" t="n"/>
      <c r="W534" s="16" t="n"/>
      <c r="X534" s="16" t="n"/>
      <c r="Y534" s="16" t="n"/>
      <c r="Z534" s="16" t="n"/>
    </row>
    <row r="535" ht="12.75" customHeight="1" s="588">
      <c r="A535" s="1" t="n"/>
      <c r="B535" s="1" t="n"/>
      <c r="C535" s="1" t="n"/>
      <c r="D535" s="1" t="n"/>
      <c r="E535" s="1" t="n"/>
      <c r="F535" s="1" t="n"/>
      <c r="G535" s="1" t="n"/>
      <c r="H535" s="1" t="n"/>
      <c r="I535" s="1" t="n"/>
      <c r="J535" s="1" t="n"/>
      <c r="K535" s="1" t="n"/>
      <c r="L535" s="1" t="n"/>
      <c r="M535" s="1" t="n"/>
      <c r="N535" s="1" t="n"/>
      <c r="O535" s="1" t="n"/>
      <c r="P535" s="1" t="n"/>
      <c r="Q535" s="16" t="n"/>
      <c r="R535" s="16" t="n"/>
      <c r="S535" s="16" t="n"/>
      <c r="T535" s="16" t="n"/>
      <c r="U535" s="16" t="n"/>
      <c r="V535" s="16" t="n"/>
      <c r="W535" s="16" t="n"/>
      <c r="X535" s="16" t="n"/>
      <c r="Y535" s="16" t="n"/>
      <c r="Z535" s="16" t="n"/>
    </row>
    <row r="536" ht="12.75" customHeight="1" s="588">
      <c r="A536" s="1" t="n"/>
      <c r="B536" s="1" t="n"/>
      <c r="C536" s="1" t="n"/>
      <c r="D536" s="1" t="n"/>
      <c r="E536" s="1" t="n"/>
      <c r="F536" s="1" t="n"/>
      <c r="G536" s="1" t="n"/>
      <c r="H536" s="1" t="n"/>
      <c r="I536" s="1" t="n"/>
      <c r="J536" s="1" t="n"/>
      <c r="K536" s="1" t="n"/>
      <c r="L536" s="1" t="n"/>
      <c r="M536" s="1" t="n"/>
      <c r="N536" s="1" t="n"/>
      <c r="O536" s="1" t="n"/>
      <c r="P536" s="1" t="n"/>
      <c r="Q536" s="16" t="n"/>
      <c r="R536" s="16" t="n"/>
      <c r="S536" s="16" t="n"/>
      <c r="T536" s="16" t="n"/>
      <c r="U536" s="16" t="n"/>
      <c r="V536" s="16" t="n"/>
      <c r="W536" s="16" t="n"/>
      <c r="X536" s="16" t="n"/>
      <c r="Y536" s="16" t="n"/>
      <c r="Z536" s="16" t="n"/>
    </row>
    <row r="537" ht="12.75" customHeight="1" s="588">
      <c r="A537" s="1" t="n"/>
      <c r="B537" s="1" t="n"/>
      <c r="C537" s="1" t="n"/>
      <c r="D537" s="1" t="n"/>
      <c r="E537" s="1" t="n"/>
      <c r="F537" s="1" t="n"/>
      <c r="G537" s="1" t="n"/>
      <c r="H537" s="1" t="n"/>
      <c r="I537" s="1" t="n"/>
      <c r="J537" s="1" t="n"/>
      <c r="K537" s="1" t="n"/>
      <c r="L537" s="1" t="n"/>
      <c r="M537" s="1" t="n"/>
      <c r="N537" s="1" t="n"/>
      <c r="O537" s="1" t="n"/>
      <c r="P537" s="1" t="n"/>
      <c r="Q537" s="16" t="n"/>
      <c r="R537" s="16" t="n"/>
      <c r="S537" s="16" t="n"/>
      <c r="T537" s="16" t="n"/>
      <c r="U537" s="16" t="n"/>
      <c r="V537" s="16" t="n"/>
      <c r="W537" s="16" t="n"/>
      <c r="X537" s="16" t="n"/>
      <c r="Y537" s="16" t="n"/>
      <c r="Z537" s="16" t="n"/>
    </row>
    <row r="538" ht="12.75" customHeight="1" s="588">
      <c r="A538" s="1" t="n"/>
      <c r="B538" s="1" t="n"/>
      <c r="C538" s="1" t="n"/>
      <c r="D538" s="1" t="n"/>
      <c r="E538" s="1" t="n"/>
      <c r="F538" s="1" t="n"/>
      <c r="G538" s="1" t="n"/>
      <c r="H538" s="1" t="n"/>
      <c r="I538" s="62" t="inlineStr">
        <is>
          <t>RESUMEN</t>
        </is>
      </c>
      <c r="J538" s="1" t="n"/>
      <c r="K538" s="1" t="n"/>
      <c r="L538" s="1" t="n"/>
      <c r="M538" s="1" t="n"/>
      <c r="N538" s="1" t="n"/>
      <c r="O538" s="1" t="n"/>
      <c r="P538" s="1" t="n"/>
      <c r="Q538" s="16" t="n"/>
      <c r="R538" s="16" t="n"/>
      <c r="S538" s="16" t="n"/>
      <c r="T538" s="16" t="n"/>
      <c r="U538" s="16" t="n"/>
      <c r="V538" s="16" t="n"/>
      <c r="W538" s="16" t="n"/>
      <c r="X538" s="16" t="n"/>
      <c r="Y538" s="16" t="n"/>
      <c r="Z538" s="16" t="n"/>
    </row>
    <row r="539" ht="12.75" customHeight="1" s="588">
      <c r="A539" s="1" t="n"/>
      <c r="B539" s="1" t="n"/>
      <c r="C539" s="1" t="n"/>
      <c r="D539" s="1" t="n"/>
      <c r="E539" s="1" t="n"/>
      <c r="F539" s="1" t="n"/>
      <c r="G539" s="1" t="n"/>
      <c r="H539" s="1" t="n"/>
      <c r="I539" s="1" t="n"/>
      <c r="J539" s="1" t="n"/>
      <c r="K539" s="1" t="n"/>
      <c r="L539" s="1" t="n"/>
      <c r="M539" s="1" t="n"/>
      <c r="N539" s="1" t="n"/>
      <c r="O539" s="1" t="n"/>
      <c r="P539" s="1" t="n"/>
      <c r="Q539" s="16" t="n"/>
      <c r="R539" s="16" t="n"/>
      <c r="S539" s="16" t="n"/>
      <c r="T539" s="16" t="n"/>
      <c r="U539" s="16" t="n"/>
      <c r="V539" s="16" t="n"/>
      <c r="W539" s="16" t="n"/>
      <c r="X539" s="16" t="n"/>
      <c r="Y539" s="16" t="n"/>
      <c r="Z539" s="16" t="n"/>
    </row>
    <row r="540" ht="12.75" customHeight="1" s="588">
      <c r="A540" s="1" t="n"/>
      <c r="B540" s="1" t="n"/>
      <c r="C540" s="1" t="n"/>
      <c r="D540" s="1" t="n"/>
      <c r="E540" s="1" t="n"/>
      <c r="F540" s="1" t="n"/>
      <c r="G540" s="1" t="n"/>
      <c r="H540" s="1" t="n"/>
      <c r="I540" s="1" t="n"/>
      <c r="J540" s="1" t="n"/>
      <c r="K540" s="1" t="n"/>
      <c r="L540" s="1" t="n"/>
      <c r="M540" s="1" t="n"/>
      <c r="N540" s="1" t="n"/>
      <c r="O540" s="1" t="n"/>
      <c r="P540" s="1" t="n"/>
      <c r="Q540" s="16" t="n"/>
      <c r="R540" s="16" t="n"/>
      <c r="S540" s="16" t="n"/>
      <c r="T540" s="16" t="n"/>
      <c r="U540" s="16" t="n"/>
      <c r="V540" s="16" t="n"/>
      <c r="W540" s="16" t="n"/>
      <c r="X540" s="16" t="n"/>
      <c r="Y540" s="16" t="n"/>
      <c r="Z540" s="16" t="n"/>
    </row>
    <row r="541" ht="12.75" customHeight="1" s="588">
      <c r="A541" s="1" t="n"/>
      <c r="B541" s="1" t="n"/>
      <c r="C541" s="1" t="n"/>
      <c r="D541" s="1" t="n"/>
      <c r="E541" s="1" t="n"/>
      <c r="F541" s="1" t="n"/>
      <c r="G541" s="1" t="n"/>
      <c r="H541" s="1" t="n"/>
      <c r="I541" s="1" t="n"/>
      <c r="J541" s="1" t="n"/>
      <c r="K541" s="1" t="n"/>
      <c r="L541" s="1" t="n"/>
      <c r="M541" s="1" t="n"/>
      <c r="N541" s="1" t="n"/>
      <c r="O541" s="1" t="n"/>
      <c r="P541" s="1" t="n"/>
      <c r="Q541" s="16" t="n"/>
      <c r="R541" s="16" t="n"/>
      <c r="S541" s="16" t="n"/>
      <c r="T541" s="16" t="n"/>
      <c r="U541" s="16" t="n"/>
      <c r="V541" s="16" t="n"/>
      <c r="W541" s="16" t="n"/>
      <c r="X541" s="16" t="n"/>
      <c r="Y541" s="16" t="n"/>
      <c r="Z541" s="16" t="n"/>
    </row>
    <row r="542" ht="12.75" customHeight="1" s="588">
      <c r="A542" s="1" t="n"/>
      <c r="B542" s="1" t="n"/>
      <c r="C542" s="1" t="n"/>
      <c r="D542" s="1" t="n"/>
      <c r="E542" s="1" t="n"/>
      <c r="F542" s="1" t="n"/>
      <c r="G542" s="1" t="n"/>
      <c r="H542" s="1" t="n"/>
      <c r="I542" s="1" t="n"/>
      <c r="J542" s="1" t="n"/>
      <c r="K542" s="1" t="n"/>
      <c r="L542" s="1" t="n"/>
      <c r="M542" s="1" t="n"/>
      <c r="N542" s="1" t="n"/>
      <c r="O542" s="1" t="n"/>
      <c r="P542" s="1" t="n"/>
      <c r="Q542" s="16" t="n"/>
      <c r="R542" s="16" t="n"/>
      <c r="S542" s="16" t="n"/>
      <c r="T542" s="16" t="n"/>
      <c r="U542" s="16" t="n"/>
      <c r="V542" s="16" t="n"/>
      <c r="W542" s="16" t="n"/>
      <c r="X542" s="16" t="n"/>
      <c r="Y542" s="16" t="n"/>
      <c r="Z542" s="16" t="n"/>
    </row>
    <row r="543" ht="12.75" customHeight="1" s="588">
      <c r="A543" s="1" t="n"/>
      <c r="B543" s="1" t="n"/>
      <c r="C543" s="1" t="n"/>
      <c r="D543" s="1" t="n"/>
      <c r="E543" s="1" t="n"/>
      <c r="F543" s="1" t="n"/>
      <c r="G543" s="1" t="n"/>
      <c r="H543" s="1" t="n"/>
      <c r="I543" s="1" t="n"/>
      <c r="J543" s="1" t="n"/>
      <c r="K543" s="1" t="n"/>
      <c r="L543" s="1" t="n"/>
      <c r="M543" s="1" t="n"/>
      <c r="N543" s="1" t="n"/>
      <c r="O543" s="1" t="n"/>
      <c r="P543" s="1" t="n"/>
      <c r="Q543" s="16" t="n"/>
      <c r="R543" s="16" t="n"/>
      <c r="S543" s="16" t="n"/>
      <c r="T543" s="16" t="n"/>
      <c r="U543" s="16" t="n"/>
      <c r="V543" s="16" t="n"/>
      <c r="W543" s="16" t="n"/>
      <c r="X543" s="16" t="n"/>
      <c r="Y543" s="16" t="n"/>
      <c r="Z543" s="16" t="n"/>
    </row>
    <row r="544" ht="12.75" customHeight="1" s="588">
      <c r="A544" s="1" t="n"/>
      <c r="B544" s="1" t="n"/>
      <c r="C544" s="1" t="n"/>
      <c r="D544" s="1" t="n"/>
      <c r="E544" s="1" t="n"/>
      <c r="F544" s="1" t="n"/>
      <c r="G544" s="1" t="n"/>
      <c r="H544" s="1" t="n"/>
      <c r="I544" s="1" t="n"/>
      <c r="J544" s="1" t="n"/>
      <c r="K544" s="1" t="n"/>
      <c r="L544" s="1" t="n"/>
      <c r="M544" s="1" t="n"/>
      <c r="N544" s="1" t="n"/>
      <c r="O544" s="1" t="n"/>
      <c r="P544" s="1" t="n"/>
      <c r="Q544" s="16" t="n"/>
      <c r="R544" s="16" t="n"/>
      <c r="S544" s="16" t="n"/>
      <c r="T544" s="16" t="n"/>
      <c r="U544" s="16" t="n"/>
      <c r="V544" s="16" t="n"/>
      <c r="W544" s="16" t="n"/>
      <c r="X544" s="16" t="n"/>
      <c r="Y544" s="16" t="n"/>
      <c r="Z544" s="16" t="n"/>
    </row>
    <row r="545" ht="12.75" customHeight="1" s="588">
      <c r="A545" s="1" t="n"/>
      <c r="B545" s="1" t="n"/>
      <c r="C545" s="1" t="n"/>
      <c r="D545" s="1" t="n"/>
      <c r="E545" s="1" t="n"/>
      <c r="F545" s="829" t="inlineStr">
        <is>
          <t>INVERSIÓN TOTAL:</t>
        </is>
      </c>
      <c r="G545" s="619" t="n"/>
      <c r="H545" s="620">
        <f>I438</f>
        <v/>
      </c>
      <c r="I545" s="610" t="n"/>
      <c r="J545" s="830" t="inlineStr">
        <is>
          <t>RECURSOS PROPIOS:</t>
        </is>
      </c>
      <c r="K545" s="619" t="n"/>
      <c r="L545" s="622">
        <f>N43+N44+L55+N65+H546</f>
        <v/>
      </c>
      <c r="M545" s="611" t="n"/>
      <c r="N545" s="1" t="n"/>
      <c r="O545" s="1" t="n"/>
      <c r="P545" s="1" t="n"/>
      <c r="Q545" s="16" t="n"/>
      <c r="R545" s="16" t="n"/>
      <c r="S545" s="16" t="n"/>
      <c r="T545" s="16" t="n"/>
      <c r="U545" s="16" t="n"/>
      <c r="V545" s="16" t="n"/>
      <c r="W545" s="16" t="n"/>
      <c r="X545" s="16" t="n"/>
      <c r="Y545" s="16" t="n"/>
      <c r="Z545" s="16" t="n"/>
    </row>
    <row r="546" ht="12.75" customHeight="1" s="588">
      <c r="A546" s="1" t="n"/>
      <c r="B546" s="1" t="n"/>
      <c r="C546" s="1" t="n"/>
      <c r="D546" s="1" t="n"/>
      <c r="E546" s="1" t="n"/>
      <c r="F546" s="831" t="inlineStr">
        <is>
          <t>SUBVENCIONES:</t>
        </is>
      </c>
      <c r="G546" s="591" t="n"/>
      <c r="H546" s="628">
        <f>N45+L56+N66</f>
        <v/>
      </c>
      <c r="J546" s="832" t="inlineStr">
        <is>
          <t>RECURSOS AJENOS:</t>
        </is>
      </c>
      <c r="K546" s="591" t="n"/>
      <c r="L546" s="833">
        <f>H545-L545</f>
        <v/>
      </c>
      <c r="M546" s="613" t="n"/>
      <c r="N546" s="1" t="n"/>
      <c r="O546" s="1" t="n"/>
      <c r="P546" s="1" t="n"/>
      <c r="Q546" s="16" t="n"/>
      <c r="R546" s="16" t="n"/>
      <c r="S546" s="16" t="n"/>
      <c r="T546" s="16" t="n"/>
      <c r="U546" s="16" t="n"/>
      <c r="V546" s="16" t="n"/>
      <c r="W546" s="16" t="n"/>
      <c r="X546" s="16" t="n"/>
      <c r="Y546" s="16" t="n"/>
      <c r="Z546" s="16" t="n"/>
    </row>
    <row r="547" ht="12.75" customHeight="1" s="588">
      <c r="A547" s="1" t="n"/>
      <c r="B547" s="1" t="n"/>
      <c r="C547" s="1" t="n"/>
      <c r="D547" s="1" t="n"/>
      <c r="E547" s="1" t="n"/>
      <c r="F547" s="834" t="n"/>
      <c r="H547" s="628" t="n"/>
      <c r="J547" s="832" t="inlineStr">
        <is>
          <t>ORIGEN  REC. AJENOS:</t>
        </is>
      </c>
      <c r="K547" s="591" t="n"/>
      <c r="L547" s="632">
        <f>H423</f>
        <v/>
      </c>
      <c r="M547" s="613" t="n"/>
      <c r="N547" s="1" t="n"/>
      <c r="O547" s="1" t="n"/>
      <c r="P547" s="1" t="n"/>
      <c r="Q547" s="16" t="n"/>
      <c r="R547" s="16" t="n"/>
      <c r="S547" s="16" t="n"/>
      <c r="T547" s="16" t="n"/>
      <c r="U547" s="16" t="n"/>
      <c r="V547" s="16" t="n"/>
      <c r="W547" s="16" t="n"/>
      <c r="X547" s="16" t="n"/>
      <c r="Y547" s="16" t="n"/>
      <c r="Z547" s="16" t="n"/>
    </row>
    <row r="548" ht="12.75" customHeight="1" s="588">
      <c r="A548" s="1" t="n"/>
      <c r="B548" s="1" t="n"/>
      <c r="C548" s="1" t="n"/>
      <c r="D548" s="1" t="n"/>
      <c r="E548" s="1" t="n"/>
      <c r="F548" s="834" t="n"/>
      <c r="H548" s="628" t="n"/>
      <c r="J548" s="631" t="n"/>
      <c r="L548" s="835" t="n"/>
      <c r="M548" s="613" t="n"/>
      <c r="N548" s="1" t="n"/>
      <c r="O548" s="1" t="n"/>
      <c r="P548" s="1" t="n"/>
      <c r="Q548" s="16" t="n"/>
      <c r="R548" s="16" t="n"/>
      <c r="S548" s="16" t="n"/>
      <c r="T548" s="16" t="n"/>
      <c r="U548" s="16" t="n"/>
      <c r="V548" s="16" t="n"/>
      <c r="W548" s="16" t="n"/>
      <c r="X548" s="16" t="n"/>
      <c r="Y548" s="16" t="n"/>
      <c r="Z548" s="16" t="n"/>
    </row>
    <row r="549" ht="12.75" customHeight="1" s="588">
      <c r="A549" s="1" t="n"/>
      <c r="B549" s="1" t="n"/>
      <c r="C549" s="1" t="n"/>
      <c r="D549" s="1" t="n"/>
      <c r="E549" s="1" t="n"/>
      <c r="F549" s="831" t="inlineStr">
        <is>
          <t>VENTAS AÑO 1:</t>
        </is>
      </c>
      <c r="G549" s="591" t="n"/>
      <c r="H549" s="628">
        <f>F284</f>
        <v/>
      </c>
      <c r="J549" s="832" t="inlineStr">
        <is>
          <t>FECHA INICIO PREV.:</t>
        </is>
      </c>
      <c r="K549" s="591" t="n"/>
      <c r="L549" s="836">
        <f>J497</f>
        <v/>
      </c>
      <c r="M549" s="613" t="n"/>
      <c r="N549" s="1" t="n"/>
      <c r="O549" s="1" t="n"/>
      <c r="P549" s="1" t="n"/>
      <c r="Q549" s="16" t="n"/>
      <c r="R549" s="16" t="n"/>
      <c r="S549" s="16" t="n"/>
      <c r="T549" s="16" t="n"/>
      <c r="U549" s="16" t="n"/>
      <c r="V549" s="16" t="n"/>
      <c r="W549" s="16" t="n"/>
      <c r="X549" s="16" t="n"/>
      <c r="Y549" s="16" t="n"/>
      <c r="Z549" s="16" t="n"/>
    </row>
    <row r="550" ht="12.75" customHeight="1" s="588">
      <c r="A550" s="1" t="n"/>
      <c r="B550" s="1" t="n"/>
      <c r="C550" s="1" t="n"/>
      <c r="D550" s="1" t="n"/>
      <c r="E550" s="1" t="n"/>
      <c r="F550" s="837" t="inlineStr">
        <is>
          <t>PUESTOS DE TRABAJO AÑO 1:</t>
        </is>
      </c>
      <c r="G550" s="615" t="n"/>
      <c r="H550" s="615" t="n"/>
      <c r="I550" s="585" t="n">
        <v>2</v>
      </c>
      <c r="J550" s="838" t="inlineStr">
        <is>
          <t>CONDICIONANTE:</t>
        </is>
      </c>
      <c r="K550" s="637" t="n"/>
      <c r="L550" s="839">
        <f>I494</f>
        <v/>
      </c>
      <c r="M550" s="616" t="n"/>
      <c r="N550" s="1" t="n"/>
      <c r="O550" s="1" t="n"/>
      <c r="P550" s="1" t="n"/>
      <c r="Q550" s="16" t="n"/>
      <c r="R550" s="16" t="n"/>
      <c r="S550" s="16" t="n"/>
      <c r="T550" s="16" t="n"/>
      <c r="U550" s="16" t="n"/>
      <c r="V550" s="16" t="n"/>
      <c r="W550" s="16" t="n"/>
      <c r="X550" s="16" t="n"/>
      <c r="Y550" s="16" t="n"/>
      <c r="Z550" s="16" t="n"/>
    </row>
    <row r="551" ht="12.75" customHeight="1" s="588">
      <c r="A551" s="1" t="n"/>
      <c r="B551" s="1" t="n"/>
      <c r="C551" s="1" t="n"/>
      <c r="D551" s="1" t="n"/>
      <c r="E551" s="1" t="n"/>
      <c r="F551" s="1" t="n"/>
      <c r="G551" s="1" t="n"/>
      <c r="H551" s="1" t="n"/>
      <c r="I551" s="1" t="n"/>
      <c r="J551" s="1" t="n"/>
      <c r="K551" s="1" t="n"/>
      <c r="L551" s="1" t="n"/>
      <c r="M551" s="1" t="n"/>
      <c r="N551" s="1" t="n"/>
      <c r="O551" s="1" t="n"/>
      <c r="P551" s="1" t="n"/>
      <c r="Q551" s="16" t="n"/>
      <c r="R551" s="16" t="n"/>
      <c r="S551" s="16" t="n"/>
      <c r="T551" s="16" t="n"/>
      <c r="U551" s="16" t="n"/>
      <c r="V551" s="16" t="n"/>
      <c r="W551" s="16" t="n"/>
      <c r="X551" s="16" t="n"/>
      <c r="Y551" s="16" t="n"/>
      <c r="Z551" s="16" t="n"/>
    </row>
    <row r="552" ht="12.75" customHeight="1" s="588">
      <c r="A552" s="1" t="n"/>
      <c r="B552" s="1" t="n"/>
      <c r="C552" s="1" t="n"/>
      <c r="D552" s="1" t="n"/>
      <c r="E552" s="1" t="n"/>
      <c r="F552" s="1" t="n"/>
      <c r="G552" s="1" t="n"/>
      <c r="H552" s="1" t="n"/>
      <c r="I552" s="1" t="n"/>
      <c r="J552" s="1" t="n"/>
      <c r="K552" s="1" t="n"/>
      <c r="L552" s="1" t="n"/>
      <c r="M552" s="1" t="n"/>
      <c r="N552" s="1" t="n"/>
      <c r="O552" s="1" t="n"/>
      <c r="P552" s="1" t="n"/>
      <c r="Q552" s="16" t="n"/>
      <c r="R552" s="16" t="n"/>
      <c r="S552" s="16" t="n"/>
      <c r="T552" s="16" t="n"/>
      <c r="U552" s="16" t="n"/>
      <c r="V552" s="16" t="n"/>
      <c r="W552" s="16" t="n"/>
      <c r="X552" s="16" t="n"/>
      <c r="Y552" s="16" t="n"/>
      <c r="Z552" s="16" t="n"/>
    </row>
    <row r="553" ht="12.75" customHeight="1" s="588">
      <c r="A553" s="1" t="n"/>
      <c r="B553" s="1" t="n"/>
      <c r="C553" s="1" t="n"/>
      <c r="D553" s="1" t="n"/>
      <c r="E553" s="1" t="n"/>
      <c r="F553" s="1" t="n"/>
      <c r="G553" s="1" t="n"/>
      <c r="H553" s="1" t="n"/>
      <c r="I553" s="1" t="n"/>
      <c r="J553" s="1" t="n"/>
      <c r="K553" s="1" t="n"/>
      <c r="L553" s="1" t="n"/>
      <c r="M553" s="1" t="n"/>
      <c r="N553" s="1" t="n"/>
      <c r="O553" s="1" t="n"/>
      <c r="P553" s="1" t="n"/>
      <c r="Q553" s="16" t="n"/>
      <c r="R553" s="16" t="n"/>
      <c r="S553" s="16" t="n"/>
      <c r="T553" s="16" t="n"/>
      <c r="U553" s="16" t="n"/>
      <c r="V553" s="16" t="n"/>
      <c r="W553" s="16" t="n"/>
      <c r="X553" s="16" t="n"/>
      <c r="Y553" s="16" t="n"/>
      <c r="Z553" s="16" t="n"/>
    </row>
    <row r="554" ht="12.75" customHeight="1" s="588">
      <c r="A554" s="1" t="n"/>
      <c r="B554" s="1" t="n"/>
      <c r="C554" s="1" t="n"/>
      <c r="D554" s="1" t="n"/>
      <c r="E554" s="1" t="n"/>
      <c r="F554" s="1" t="n"/>
      <c r="G554" s="1" t="n"/>
      <c r="H554" s="1" t="n"/>
      <c r="I554" s="1" t="n"/>
      <c r="J554" s="1" t="n"/>
      <c r="K554" s="1" t="n"/>
      <c r="L554" s="1" t="n"/>
      <c r="M554" s="1" t="n"/>
      <c r="N554" s="1" t="n"/>
      <c r="O554" s="1" t="n"/>
      <c r="P554" s="1" t="n"/>
      <c r="Q554" s="16" t="n"/>
      <c r="R554" s="16" t="n"/>
      <c r="S554" s="16" t="n"/>
      <c r="T554" s="16" t="n"/>
      <c r="U554" s="16" t="n"/>
      <c r="V554" s="16" t="n"/>
      <c r="W554" s="16" t="n"/>
      <c r="X554" s="16" t="n"/>
      <c r="Y554" s="16" t="n"/>
      <c r="Z554" s="16" t="n"/>
    </row>
    <row r="555" ht="12.75" customHeight="1" s="588">
      <c r="A555" s="1" t="n"/>
      <c r="B555" s="1" t="n"/>
      <c r="C555" s="1" t="n"/>
      <c r="D555" s="1" t="n"/>
      <c r="E555" s="1" t="n"/>
      <c r="F555" s="1" t="n"/>
      <c r="G555" s="1" t="n"/>
      <c r="H555" s="1" t="n"/>
      <c r="I555" s="1" t="n"/>
      <c r="J555" s="1" t="n"/>
      <c r="K555" s="1" t="n"/>
      <c r="L555" s="1" t="n"/>
      <c r="M555" s="1" t="n"/>
      <c r="N555" s="1" t="n"/>
      <c r="O555" s="1" t="n"/>
      <c r="P555" s="1" t="n"/>
      <c r="Q555" s="16" t="n"/>
      <c r="R555" s="16" t="n"/>
      <c r="S555" s="16" t="n"/>
      <c r="T555" s="16" t="n"/>
      <c r="U555" s="16" t="n"/>
      <c r="V555" s="16" t="n"/>
      <c r="W555" s="16" t="n"/>
      <c r="X555" s="16" t="n"/>
      <c r="Y555" s="16" t="n"/>
      <c r="Z555" s="16" t="n"/>
    </row>
    <row r="556" ht="12.75" customHeight="1" s="588">
      <c r="A556" s="1" t="n"/>
      <c r="B556" s="1" t="n"/>
      <c r="C556" s="1" t="n"/>
      <c r="D556" s="1" t="n"/>
      <c r="E556" s="1" t="n"/>
      <c r="F556" s="1" t="n"/>
      <c r="G556" s="1" t="n"/>
      <c r="H556" s="1" t="n"/>
      <c r="I556" s="1" t="n"/>
      <c r="J556" s="1" t="n"/>
      <c r="K556" s="1" t="n"/>
      <c r="L556" s="1" t="n"/>
      <c r="M556" s="1" t="n"/>
      <c r="N556" s="1" t="n"/>
      <c r="O556" s="1" t="n"/>
      <c r="P556" s="1" t="n"/>
      <c r="Q556" s="16" t="n"/>
      <c r="R556" s="16" t="n"/>
      <c r="S556" s="16" t="n"/>
      <c r="T556" s="16" t="n"/>
      <c r="U556" s="16" t="n"/>
      <c r="V556" s="16" t="n"/>
      <c r="W556" s="16" t="n"/>
      <c r="X556" s="16" t="n"/>
      <c r="Y556" s="16" t="n"/>
      <c r="Z556" s="16" t="n"/>
    </row>
    <row r="557" ht="12.75" customHeight="1" s="588">
      <c r="A557" s="1" t="n"/>
      <c r="B557" s="1" t="n"/>
      <c r="C557" s="1" t="n"/>
      <c r="D557" s="1" t="n"/>
      <c r="E557" s="1" t="n"/>
      <c r="F557" s="1" t="n"/>
      <c r="G557" s="1" t="n"/>
      <c r="H557" s="1" t="n"/>
      <c r="I557" s="1" t="n"/>
      <c r="J557" s="1" t="n"/>
      <c r="K557" s="1" t="n"/>
      <c r="L557" s="1" t="n"/>
      <c r="M557" s="1" t="n"/>
      <c r="N557" s="1" t="n"/>
      <c r="O557" s="1" t="n"/>
      <c r="P557" s="1" t="n"/>
      <c r="Q557" s="16" t="n"/>
      <c r="R557" s="16" t="n"/>
      <c r="S557" s="16" t="n"/>
      <c r="T557" s="16" t="n"/>
      <c r="U557" s="16" t="n"/>
      <c r="V557" s="16" t="n"/>
      <c r="W557" s="16" t="n"/>
      <c r="X557" s="16" t="n"/>
      <c r="Y557" s="16" t="n"/>
      <c r="Z557" s="16" t="n"/>
    </row>
    <row r="558" ht="12.75" customHeight="1" s="588">
      <c r="A558" s="1" t="n"/>
      <c r="B558" s="1" t="n"/>
      <c r="C558" s="1" t="n"/>
      <c r="D558" s="1" t="n"/>
      <c r="E558" s="1" t="n"/>
      <c r="F558" s="1" t="n"/>
      <c r="G558" s="1" t="n"/>
      <c r="H558" s="1" t="n"/>
      <c r="I558" s="1" t="n"/>
      <c r="J558" s="1" t="n"/>
      <c r="K558" s="1" t="n"/>
      <c r="L558" s="1" t="n"/>
      <c r="M558" s="1" t="n"/>
      <c r="N558" s="1" t="n"/>
      <c r="O558" s="1" t="n"/>
      <c r="P558" s="1" t="n"/>
      <c r="Q558" s="16" t="n"/>
      <c r="R558" s="16" t="n"/>
      <c r="S558" s="16" t="n"/>
      <c r="T558" s="16" t="n"/>
      <c r="U558" s="16" t="n"/>
      <c r="V558" s="16" t="n"/>
      <c r="W558" s="16" t="n"/>
      <c r="X558" s="16" t="n"/>
      <c r="Y558" s="16" t="n"/>
      <c r="Z558" s="16" t="n"/>
    </row>
    <row r="559" ht="12.75" customHeight="1" s="588">
      <c r="A559" s="1" t="n"/>
      <c r="B559" s="1" t="n"/>
      <c r="C559" s="1" t="n"/>
      <c r="D559" s="1" t="n"/>
      <c r="E559" s="1" t="n"/>
      <c r="F559" s="1" t="n"/>
      <c r="G559" s="1" t="n"/>
      <c r="H559" s="1" t="n"/>
      <c r="I559" s="1" t="n"/>
      <c r="J559" s="1" t="n"/>
      <c r="K559" s="1" t="n"/>
      <c r="L559" s="1" t="n"/>
      <c r="M559" s="1" t="n"/>
      <c r="N559" s="1" t="n"/>
      <c r="O559" s="1" t="n"/>
      <c r="P559" s="1" t="n"/>
      <c r="Q559" s="16" t="n"/>
      <c r="R559" s="16" t="n"/>
      <c r="S559" s="16" t="n"/>
      <c r="T559" s="16" t="n"/>
      <c r="U559" s="16" t="n"/>
      <c r="V559" s="16" t="n"/>
      <c r="W559" s="16" t="n"/>
      <c r="X559" s="16" t="n"/>
      <c r="Y559" s="16" t="n"/>
      <c r="Z559" s="16" t="n"/>
    </row>
    <row r="560" ht="12.75" customHeight="1" s="588">
      <c r="A560" s="1" t="n"/>
      <c r="B560" s="1" t="n"/>
      <c r="C560" s="1" t="n"/>
      <c r="D560" s="1" t="n"/>
      <c r="E560" s="1" t="n"/>
      <c r="F560" s="1" t="n"/>
      <c r="G560" s="1" t="n"/>
      <c r="H560" s="1" t="n"/>
      <c r="I560" s="1" t="n"/>
      <c r="J560" s="1" t="n"/>
      <c r="K560" s="1" t="n"/>
      <c r="L560" s="1" t="n"/>
      <c r="M560" s="1" t="n"/>
      <c r="N560" s="1" t="n"/>
      <c r="O560" s="1" t="n"/>
      <c r="P560" s="1" t="n"/>
      <c r="Q560" s="16" t="n"/>
      <c r="R560" s="16" t="n"/>
      <c r="S560" s="16" t="n"/>
      <c r="T560" s="16" t="n"/>
      <c r="U560" s="16" t="n"/>
      <c r="V560" s="16" t="n"/>
      <c r="W560" s="16" t="n"/>
      <c r="X560" s="16" t="n"/>
      <c r="Y560" s="16" t="n"/>
      <c r="Z560" s="16" t="n"/>
    </row>
    <row r="561" ht="12.75" customHeight="1" s="588">
      <c r="A561" s="1" t="n"/>
      <c r="B561" s="1" t="n"/>
      <c r="C561" s="1" t="n"/>
      <c r="D561" s="1" t="n"/>
      <c r="E561" s="1" t="n"/>
      <c r="F561" s="1" t="n"/>
      <c r="G561" s="1" t="n"/>
      <c r="H561" s="1" t="n"/>
      <c r="I561" s="1" t="n"/>
      <c r="J561" s="1" t="n"/>
      <c r="K561" s="1" t="n"/>
      <c r="L561" s="1" t="n"/>
      <c r="M561" s="1" t="n"/>
      <c r="N561" s="1" t="n"/>
      <c r="O561" s="1" t="n"/>
      <c r="P561" s="1" t="n"/>
      <c r="Q561" s="16" t="n"/>
      <c r="R561" s="16" t="n"/>
      <c r="S561" s="16" t="n"/>
      <c r="T561" s="16" t="n"/>
      <c r="U561" s="16" t="n"/>
      <c r="V561" s="16" t="n"/>
      <c r="W561" s="16" t="n"/>
      <c r="X561" s="16" t="n"/>
      <c r="Y561" s="16" t="n"/>
      <c r="Z561" s="16" t="n"/>
    </row>
    <row r="562" ht="12.75" customHeight="1" s="588">
      <c r="A562" s="1" t="n"/>
      <c r="B562" s="1" t="n"/>
      <c r="C562" s="1" t="n"/>
      <c r="D562" s="1" t="n"/>
      <c r="E562" s="1" t="n"/>
      <c r="F562" s="1" t="n"/>
      <c r="G562" s="1" t="n"/>
      <c r="H562" s="1" t="n"/>
      <c r="I562" s="1" t="n"/>
      <c r="J562" s="1" t="n"/>
      <c r="K562" s="1" t="n"/>
      <c r="L562" s="1" t="n"/>
      <c r="M562" s="1" t="n"/>
      <c r="N562" s="1" t="n"/>
      <c r="O562" s="1" t="n"/>
      <c r="P562" s="1" t="n"/>
      <c r="Q562" s="16" t="n"/>
      <c r="R562" s="16" t="n"/>
      <c r="S562" s="16" t="n"/>
      <c r="T562" s="16" t="n"/>
      <c r="U562" s="16" t="n"/>
      <c r="V562" s="16" t="n"/>
      <c r="W562" s="16" t="n"/>
      <c r="X562" s="16" t="n"/>
      <c r="Y562" s="16" t="n"/>
      <c r="Z562" s="16" t="n"/>
    </row>
    <row r="563" ht="12.75" customHeight="1" s="588">
      <c r="A563" s="1" t="n"/>
      <c r="B563" s="1" t="n"/>
      <c r="C563" s="1" t="n"/>
      <c r="D563" s="1" t="n"/>
      <c r="E563" s="1" t="n"/>
      <c r="F563" s="1" t="n"/>
      <c r="G563" s="1" t="n"/>
      <c r="H563" s="1" t="n"/>
      <c r="I563" s="1" t="n"/>
      <c r="J563" s="1" t="n"/>
      <c r="K563" s="1" t="n"/>
      <c r="L563" s="1" t="n"/>
      <c r="M563" s="1" t="n"/>
      <c r="N563" s="1" t="n"/>
      <c r="O563" s="1" t="n"/>
      <c r="P563" s="1" t="n"/>
      <c r="Q563" s="16" t="n"/>
      <c r="R563" s="16" t="n"/>
      <c r="S563" s="16" t="n"/>
      <c r="T563" s="16" t="n"/>
      <c r="U563" s="16" t="n"/>
      <c r="V563" s="16" t="n"/>
      <c r="W563" s="16" t="n"/>
      <c r="X563" s="16" t="n"/>
      <c r="Y563" s="16" t="n"/>
      <c r="Z563" s="16" t="n"/>
    </row>
    <row r="564" ht="12.75" customHeight="1" s="588">
      <c r="A564" s="1" t="n"/>
      <c r="B564" s="1" t="n"/>
      <c r="C564" s="1" t="n"/>
      <c r="D564" s="1" t="n"/>
      <c r="E564" s="1" t="n"/>
      <c r="F564" s="1" t="n"/>
      <c r="G564" s="1" t="n"/>
      <c r="H564" s="1" t="n"/>
      <c r="I564" s="1" t="n"/>
      <c r="J564" s="1" t="n"/>
      <c r="K564" s="1" t="n"/>
      <c r="L564" s="1" t="n"/>
      <c r="M564" s="1" t="n"/>
      <c r="N564" s="1" t="n"/>
      <c r="O564" s="1" t="n"/>
      <c r="P564" s="1" t="n"/>
      <c r="Q564" s="16" t="n"/>
      <c r="R564" s="16" t="n"/>
      <c r="S564" s="16" t="n"/>
      <c r="T564" s="16" t="n"/>
      <c r="U564" s="16" t="n"/>
      <c r="V564" s="16" t="n"/>
      <c r="W564" s="16" t="n"/>
      <c r="X564" s="16" t="n"/>
      <c r="Y564" s="16" t="n"/>
      <c r="Z564" s="16" t="n"/>
    </row>
    <row r="565" ht="12.75" customHeight="1" s="588">
      <c r="A565" s="1" t="n"/>
      <c r="B565" s="1" t="n"/>
      <c r="C565" s="1" t="n"/>
      <c r="D565" s="1" t="n"/>
      <c r="E565" s="1" t="n"/>
      <c r="F565" s="1" t="n"/>
      <c r="G565" s="1" t="n"/>
      <c r="H565" s="1" t="n"/>
      <c r="I565" s="1" t="n"/>
      <c r="J565" s="1" t="n"/>
      <c r="K565" s="1" t="n"/>
      <c r="L565" s="1" t="n"/>
      <c r="M565" s="1" t="n"/>
      <c r="N565" s="1" t="n"/>
      <c r="O565" s="1" t="n"/>
      <c r="P565" s="1" t="n"/>
      <c r="Q565" s="16" t="n"/>
      <c r="R565" s="16" t="n"/>
      <c r="S565" s="16" t="n"/>
      <c r="T565" s="16" t="n"/>
      <c r="U565" s="16" t="n"/>
      <c r="V565" s="16" t="n"/>
      <c r="W565" s="16" t="n"/>
      <c r="X565" s="16" t="n"/>
      <c r="Y565" s="16" t="n"/>
      <c r="Z565" s="16" t="n"/>
    </row>
    <row r="566" ht="12.75" customHeight="1" s="588">
      <c r="A566" s="1" t="n"/>
      <c r="B566" s="1" t="n"/>
      <c r="C566" s="1" t="n"/>
      <c r="D566" s="1" t="n"/>
      <c r="E566" s="1" t="n"/>
      <c r="F566" s="1" t="n"/>
      <c r="G566" s="1" t="n"/>
      <c r="H566" s="1" t="n"/>
      <c r="I566" s="1" t="n"/>
      <c r="J566" s="1" t="n"/>
      <c r="K566" s="1" t="n"/>
      <c r="L566" s="1" t="n"/>
      <c r="M566" s="1" t="n"/>
      <c r="N566" s="1" t="n"/>
      <c r="O566" s="1" t="n"/>
      <c r="P566" s="1" t="n"/>
      <c r="Q566" s="16" t="n"/>
      <c r="R566" s="16" t="n"/>
      <c r="S566" s="16" t="n"/>
      <c r="T566" s="16" t="n"/>
      <c r="U566" s="16" t="n"/>
      <c r="V566" s="16" t="n"/>
      <c r="W566" s="16" t="n"/>
      <c r="X566" s="16" t="n"/>
      <c r="Y566" s="16" t="n"/>
      <c r="Z566" s="16" t="n"/>
    </row>
    <row r="567" ht="12.75" customHeight="1" s="588">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ht="12.75" customHeight="1" s="588">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ht="12.75" customHeight="1" s="588">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ht="12.75" customHeight="1" s="588">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ht="12.75" customHeight="1" s="588">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ht="12.75" customHeight="1" s="588">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ht="12.75" customHeight="1" s="588">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ht="12.75" customHeight="1" s="588">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ht="12.75" customHeight="1" s="588">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ht="12.75" customHeight="1" s="588">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ht="12.75" customHeight="1" s="588">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ht="12.75" customHeight="1" s="588">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ht="12.75" customHeight="1" s="588">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ht="12.75" customHeight="1" s="588">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ht="12.75" customHeight="1" s="588">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ht="12.75" customHeight="1" s="588">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ht="12.75" customHeight="1" s="588">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ht="12.75" customHeight="1" s="588">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ht="12.75" customHeight="1" s="588">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ht="12.75" customHeight="1" s="588">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ht="12.75" customHeight="1" s="588">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ht="12.75" customHeight="1" s="588">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ht="12.75" customHeight="1" s="588">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ht="12.75" customHeight="1" s="588">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ht="12.75" customHeight="1" s="588">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ht="12.75" customHeight="1" s="588">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ht="12.75" customHeight="1" s="588">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ht="12.75" customHeight="1" s="588">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ht="12.75" customHeight="1" s="588">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ht="12.75" customHeight="1" s="588">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ht="12.75" customHeight="1" s="588">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ht="12.75" customHeight="1" s="588">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ht="12.75" customHeight="1" s="588">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ht="12.75" customHeight="1" s="588">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ht="12.75" customHeight="1" s="588">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ht="12.75" customHeight="1" s="588">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ht="12.75" customHeight="1" s="588">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ht="12.75" customHeight="1" s="588">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ht="12.75" customHeight="1" s="588">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ht="12.75" customHeight="1" s="588">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ht="12.75" customHeight="1" s="588">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ht="12.75" customHeight="1" s="588">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ht="12.75" customHeight="1" s="588">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ht="12.75" customHeight="1" s="588">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ht="12.75" customHeight="1" s="588">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ht="12.75" customHeight="1" s="588">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ht="12.75" customHeight="1" s="588">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ht="12.75" customHeight="1" s="588">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ht="12.75" customHeight="1" s="588">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ht="12.75" customHeight="1" s="588">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ht="12.75" customHeight="1" s="588">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ht="12.75" customHeight="1" s="588">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ht="12.75" customHeight="1" s="588">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ht="12.75" customHeight="1" s="588">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ht="12.75" customHeight="1" s="588">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ht="12.75" customHeight="1" s="588">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ht="12.75" customHeight="1" s="588">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ht="12.75" customHeight="1" s="588">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ht="12.75" customHeight="1" s="588">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ht="12.75" customHeight="1" s="588">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ht="12.75" customHeight="1" s="588">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ht="12.75" customHeight="1" s="588">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ht="12.75" customHeight="1" s="588">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ht="12.75" customHeight="1" s="588">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ht="12.75" customHeight="1" s="588">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ht="12.75" customHeight="1" s="588">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ht="12.75" customHeight="1" s="588">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ht="12.75" customHeight="1" s="588">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ht="12.75" customHeight="1" s="588">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ht="12.75" customHeight="1" s="588">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ht="12.75" customHeight="1" s="588">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ht="12.75" customHeight="1" s="588">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ht="12.75" customHeight="1" s="588">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ht="12.75" customHeight="1" s="588">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ht="12.75" customHeight="1" s="588">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ht="12.75" customHeight="1" s="588">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ht="12.75" customHeight="1" s="588">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ht="12.75" customHeight="1" s="588">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ht="12.75" customHeight="1" s="588">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ht="12.75" customHeight="1" s="588">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ht="12.75" customHeight="1" s="588">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ht="12.75" customHeight="1" s="588">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ht="12.75" customHeight="1" s="588">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ht="12.75" customHeight="1" s="588">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ht="12.75" customHeight="1" s="588">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ht="12.75" customHeight="1" s="588">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ht="12.75" customHeight="1" s="588">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ht="12.75" customHeight="1" s="588">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ht="12.75" customHeight="1" s="588">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ht="12.75" customHeight="1" s="588">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ht="12.75" customHeight="1" s="588">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ht="12.75" customHeight="1" s="588">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ht="12.75" customHeight="1" s="588">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ht="12.75" customHeight="1" s="588">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ht="12.75" customHeight="1" s="588">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ht="12.75" customHeight="1" s="588">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ht="12.75" customHeight="1" s="588">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ht="12.75" customHeight="1" s="588">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ht="12.75" customHeight="1" s="588">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ht="12.75" customHeight="1" s="588">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ht="12.75" customHeight="1" s="588">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ht="12.75" customHeight="1" s="588">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ht="12.75" customHeight="1" s="588">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ht="12.75" customHeight="1" s="588">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ht="12.75" customHeight="1" s="588">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ht="12.75" customHeight="1" s="588">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ht="12.75" customHeight="1" s="588">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ht="12.75" customHeight="1" s="588">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ht="12.75" customHeight="1" s="588">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ht="12.75" customHeight="1" s="588">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ht="12.75" customHeight="1" s="588">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ht="12.75" customHeight="1" s="588">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ht="12.75" customHeight="1" s="588">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ht="12.75" customHeight="1" s="588">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ht="12.75" customHeight="1" s="588">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ht="12.75" customHeight="1" s="588">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ht="12.75" customHeight="1" s="588">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ht="12.75" customHeight="1" s="588">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ht="12.75" customHeight="1" s="588">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ht="12.75" customHeight="1" s="588">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ht="12.75" customHeight="1" s="588">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ht="12.75" customHeight="1" s="588">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ht="12.75" customHeight="1" s="588">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ht="12.75" customHeight="1" s="588">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ht="12.75" customHeight="1" s="588">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ht="12.75" customHeight="1" s="588">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ht="12.75" customHeight="1" s="588">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ht="12.75" customHeight="1" s="588">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ht="12.75" customHeight="1" s="588">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ht="12.75" customHeight="1" s="588">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ht="12.75" customHeight="1" s="588">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ht="12.75" customHeight="1" s="588">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ht="12.75" customHeight="1" s="588">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ht="12.75" customHeight="1" s="588">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ht="12.75" customHeight="1" s="588">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ht="12.75" customHeight="1" s="588">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ht="12.75" customHeight="1" s="588">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ht="12.75" customHeight="1" s="588">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ht="12.75" customHeight="1" s="588">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ht="12.75" customHeight="1" s="588">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ht="12.75" customHeight="1" s="588">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ht="12.75" customHeight="1" s="588">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ht="12.75" customHeight="1" s="588">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ht="12.75" customHeight="1" s="588">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ht="12.75" customHeight="1" s="588">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ht="12.75" customHeight="1" s="588">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ht="12.75" customHeight="1" s="588">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ht="12.75" customHeight="1" s="588">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ht="12.75" customHeight="1" s="588">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ht="12.75" customHeight="1" s="588">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ht="12.75" customHeight="1" s="588">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ht="12.75" customHeight="1" s="588">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ht="12.75" customHeight="1" s="588">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ht="12.75" customHeight="1" s="588">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ht="12.75" customHeight="1" s="588">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ht="12.75" customHeight="1" s="588">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ht="12.75" customHeight="1" s="588">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ht="12.75" customHeight="1" s="588">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ht="12.75" customHeight="1" s="588">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ht="12.75" customHeight="1" s="588">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ht="12.75" customHeight="1" s="588">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ht="12.75" customHeight="1" s="588">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ht="12.75" customHeight="1" s="588">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ht="12.75" customHeight="1" s="588">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ht="12.75" customHeight="1" s="588">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ht="12.75" customHeight="1" s="588">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ht="12.75" customHeight="1" s="588">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ht="12.75" customHeight="1" s="588">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ht="12.75" customHeight="1" s="588">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ht="12.75" customHeight="1" s="588">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ht="12.75" customHeight="1" s="588">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ht="12.75" customHeight="1" s="588">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ht="12.75" customHeight="1" s="588">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ht="12.75" customHeight="1" s="588">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ht="12.75" customHeight="1" s="588">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ht="12.75" customHeight="1" s="588">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ht="12.75" customHeight="1" s="588">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ht="12.75" customHeight="1" s="588">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ht="12.75" customHeight="1" s="588">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ht="12.75" customHeight="1" s="588">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ht="12.75" customHeight="1" s="588">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ht="12.75" customHeight="1" s="588">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ht="12.75" customHeight="1" s="588">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ht="12.75" customHeight="1" s="588">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ht="12.75" customHeight="1" s="588">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ht="12.75" customHeight="1" s="588">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ht="12.75" customHeight="1" s="588">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ht="12.75" customHeight="1" s="588">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ht="12.75" customHeight="1" s="588">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ht="12.75" customHeight="1" s="588">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ht="12.75" customHeight="1" s="588">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ht="12.75" customHeight="1" s="588">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ht="12.75" customHeight="1" s="588">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ht="12.75" customHeight="1" s="588">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ht="12.75" customHeight="1" s="588">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ht="12.75" customHeight="1" s="588">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ht="12.75" customHeight="1" s="588">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ht="12.75" customHeight="1" s="588">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ht="12.75" customHeight="1" s="588">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ht="12.75" customHeight="1" s="588">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ht="12.75" customHeight="1" s="588">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ht="12.75" customHeight="1" s="588">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ht="12.75" customHeight="1" s="588">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ht="12.75" customHeight="1" s="588">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ht="12.75" customHeight="1" s="588">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ht="12.75" customHeight="1" s="588">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ht="12.75" customHeight="1" s="588">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ht="12.75" customHeight="1" s="588">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ht="12.75" customHeight="1" s="588">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ht="12.75" customHeight="1" s="588">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ht="12.75" customHeight="1" s="588">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ht="12.75" customHeight="1" s="588">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ht="12.75" customHeight="1" s="588">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ht="12.75" customHeight="1" s="588">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ht="12.75" customHeight="1" s="588">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ht="12.75" customHeight="1" s="588">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ht="12.75" customHeight="1" s="588">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ht="12.75" customHeight="1" s="588">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ht="12.75" customHeight="1" s="588">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ht="12.75" customHeight="1" s="588">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ht="12.75" customHeight="1" s="588">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ht="12.75" customHeight="1" s="588">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ht="12.75" customHeight="1" s="588">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ht="12.75" customHeight="1" s="588">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ht="12.75" customHeight="1" s="588">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ht="12.75" customHeight="1" s="588">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ht="12.75" customHeight="1" s="588">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ht="12.75" customHeight="1" s="588">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ht="12.75" customHeight="1" s="588">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ht="12.75" customHeight="1" s="588">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ht="12.75" customHeight="1" s="588">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ht="12.75" customHeight="1" s="588">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ht="12.75" customHeight="1" s="588">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ht="12.75" customHeight="1" s="588">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ht="12.75" customHeight="1" s="588">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ht="12.75" customHeight="1" s="588">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ht="12.75" customHeight="1" s="588">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ht="12.75" customHeight="1" s="588">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ht="12.75" customHeight="1" s="588">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ht="12.75" customHeight="1" s="588">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ht="12.75" customHeight="1" s="588">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ht="12.75" customHeight="1" s="588">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ht="12.75" customHeight="1" s="588">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ht="12.75" customHeight="1" s="588">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ht="12.75" customHeight="1" s="588">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ht="12.75" customHeight="1" s="588">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ht="12.75" customHeight="1" s="588">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ht="12.75" customHeight="1" s="588">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ht="12.75" customHeight="1" s="588">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ht="12.75" customHeight="1" s="588">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ht="12.75" customHeight="1" s="588">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ht="12.75" customHeight="1" s="588">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ht="12.75" customHeight="1" s="588">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ht="12.75" customHeight="1" s="588">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ht="12.75" customHeight="1" s="588">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ht="12.75" customHeight="1" s="588">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ht="12.75" customHeight="1" s="588">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ht="12.75" customHeight="1" s="588">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ht="12.75" customHeight="1" s="588">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ht="12.75" customHeight="1" s="588">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ht="12.75" customHeight="1" s="588">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ht="12.75" customHeight="1" s="588">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ht="12.75" customHeight="1" s="588">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ht="12.75" customHeight="1" s="588">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ht="12.75" customHeight="1" s="588">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ht="12.75" customHeight="1" s="588">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ht="12.75" customHeight="1" s="588">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ht="12.75" customHeight="1" s="588">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ht="12.75" customHeight="1" s="588">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ht="12.75" customHeight="1" s="588">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ht="12.75" customHeight="1" s="588">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ht="12.75" customHeight="1" s="588">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ht="12.75" customHeight="1" s="588">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ht="12.75" customHeight="1" s="588">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ht="12.75" customHeight="1" s="588">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ht="12.75" customHeight="1" s="588">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ht="12.75" customHeight="1" s="588">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ht="12.75" customHeight="1" s="588">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ht="12.75" customHeight="1" s="588">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ht="12.75" customHeight="1" s="588">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ht="12.75" customHeight="1" s="588">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ht="12.75" customHeight="1" s="588">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ht="12.75" customHeight="1" s="588">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ht="12.75" customHeight="1" s="588">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ht="12.75" customHeight="1" s="588">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ht="12.75" customHeight="1" s="588">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ht="12.75" customHeight="1" s="588">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ht="12.75" customHeight="1" s="588">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ht="12.75" customHeight="1" s="588">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ht="12.75" customHeight="1" s="588">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ht="12.75" customHeight="1" s="588">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ht="12.75" customHeight="1" s="588">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ht="12.75" customHeight="1" s="588">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ht="12.75" customHeight="1" s="588">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ht="12.75" customHeight="1" s="588">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ht="12.75" customHeight="1" s="588">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ht="12.75" customHeight="1" s="588">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ht="12.75" customHeight="1" s="588">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ht="12.75" customHeight="1" s="588">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ht="12.75" customHeight="1" s="588">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ht="12.75" customHeight="1" s="588">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ht="12.75" customHeight="1" s="588">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ht="12.75" customHeight="1" s="588">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ht="12.75" customHeight="1" s="588">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ht="12.75" customHeight="1" s="588">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ht="12.75" customHeight="1" s="588">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ht="12.75" customHeight="1" s="588">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ht="12.75" customHeight="1" s="588">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ht="12.75" customHeight="1" s="588">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ht="12.75" customHeight="1" s="588">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ht="12.75" customHeight="1" s="588">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ht="12.75" customHeight="1" s="588">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ht="12.75" customHeight="1" s="588">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ht="12.75" customHeight="1" s="588">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ht="12.75" customHeight="1" s="588">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ht="12.75" customHeight="1" s="588">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ht="12.75" customHeight="1" s="588">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ht="12.75" customHeight="1" s="588">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ht="12.75" customHeight="1" s="588">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ht="12.75" customHeight="1" s="588">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ht="12.75" customHeight="1" s="588">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ht="12.75" customHeight="1" s="588">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ht="12.75" customHeight="1" s="588">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ht="12.75" customHeight="1" s="588">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ht="12.75" customHeight="1" s="588">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ht="12.75" customHeight="1" s="588">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ht="12.75" customHeight="1" s="588">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ht="12.75" customHeight="1" s="588">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ht="12.75" customHeight="1" s="588">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ht="12.75" customHeight="1" s="588">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ht="12.75" customHeight="1" s="588">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ht="12.75" customHeight="1" s="588">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ht="12.75" customHeight="1" s="588">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ht="12.75" customHeight="1" s="588">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ht="12.75" customHeight="1" s="588">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ht="12.75" customHeight="1" s="588">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ht="12.75" customHeight="1" s="588">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ht="12.75" customHeight="1" s="588">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ht="12.75" customHeight="1" s="588">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ht="12.75" customHeight="1" s="588">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ht="12.75" customHeight="1" s="588">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ht="12.75" customHeight="1" s="588">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ht="12.75" customHeight="1" s="588">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ht="12.75" customHeight="1" s="588">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ht="12.75" customHeight="1" s="588">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ht="12.75" customHeight="1" s="588">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ht="12.75" customHeight="1" s="588">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ht="12.75" customHeight="1" s="588">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ht="12.75" customHeight="1" s="588">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ht="12.75" customHeight="1" s="588">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ht="12.75" customHeight="1" s="588">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ht="12.75" customHeight="1" s="588">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ht="12.75" customHeight="1" s="588">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ht="12.75" customHeight="1" s="588">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ht="12.75" customHeight="1" s="588">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ht="12.75" customHeight="1" s="588">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ht="12.75" customHeight="1" s="588">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ht="12.75" customHeight="1" s="588">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ht="12.75" customHeight="1" s="588">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ht="12.75" customHeight="1" s="588">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ht="12.75" customHeight="1" s="588">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ht="12.75" customHeight="1" s="588">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ht="12.75" customHeight="1" s="588">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ht="12.75" customHeight="1" s="588">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ht="12.75" customHeight="1" s="588">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ht="12.75" customHeight="1" s="588">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ht="12.75" customHeight="1" s="588">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ht="12.75" customHeight="1" s="588">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ht="12.75" customHeight="1" s="588">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ht="12.75" customHeight="1" s="588">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ht="12.75" customHeight="1" s="588">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ht="12.75" customHeight="1" s="588">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ht="12.75" customHeight="1" s="588">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ht="12.75" customHeight="1" s="588">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ht="12.75" customHeight="1" s="588">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ht="12.75" customHeight="1" s="588">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ht="12.75" customHeight="1" s="588">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ht="12.75" customHeight="1" s="588">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ht="12.75" customHeight="1" s="588">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ht="12.75" customHeight="1" s="588">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ht="12.75" customHeight="1" s="588">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ht="12.75" customHeight="1" s="588">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ht="12.75" customHeight="1" s="588">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ht="12.75" customHeight="1" s="588">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ht="12.75" customHeight="1" s="588">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ht="12.75" customHeight="1" s="588">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ht="12.75" customHeight="1" s="588">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ht="12.75" customHeight="1" s="588">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ht="12.75" customHeight="1" s="588">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ht="12.75" customHeight="1" s="588">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ht="12.75" customHeight="1" s="588">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ht="12.75" customHeight="1" s="588">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ht="12.75" customHeight="1" s="588">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ht="12.75" customHeight="1" s="588">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ht="12.75" customHeight="1" s="588">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ht="12.75" customHeight="1" s="588">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ht="12.75" customHeight="1" s="588">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ht="12.75" customHeight="1" s="588">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ht="12.75" customHeight="1" s="588">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ht="12.75" customHeight="1" s="588">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ht="12.75" customHeight="1" s="588">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ht="12.75" customHeight="1" s="588">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ht="12.75" customHeight="1" s="588">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ht="12.75" customHeight="1" s="588">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ht="12.75" customHeight="1" s="588">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ht="12.75" customHeight="1" s="588">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ht="12.75" customHeight="1" s="588">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ht="12.75" customHeight="1" s="588">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ht="12.75" customHeight="1" s="588">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ht="12.75" customHeight="1" s="588">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ht="12.75" customHeight="1" s="588">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ht="12.75" customHeight="1" s="588">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ht="12.75" customHeight="1" s="588">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ht="12.75" customHeight="1" s="588">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ht="12.75" customHeight="1" s="588">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ht="12.75" customHeight="1" s="588">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ht="12.75" customHeight="1" s="588">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ht="12.75" customHeight="1" s="588">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ht="12.75" customHeight="1" s="588">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ht="12.75" customHeight="1" s="588">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ht="12.75" customHeight="1" s="588">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ht="12.75" customHeight="1" s="588">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ht="12.75" customHeight="1" s="588">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ht="12.75" customHeight="1" s="588">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ht="12.75" customHeight="1" s="588">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ht="12.75" customHeight="1" s="588">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ht="12.75" customHeight="1" s="588">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ht="12.75" customHeight="1" s="588">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ht="12.75" customHeight="1" s="588">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ht="12.75" customHeight="1" s="588">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ht="12.75" customHeight="1" s="588">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ht="12.75" customHeight="1" s="588">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ht="12.75" customHeight="1" s="588">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ht="12.75" customHeight="1" s="588">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sheetData>
  <mergeCells count="878">
    <mergeCell ref="F408:G408"/>
    <mergeCell ref="I54:K54"/>
    <mergeCell ref="D60:E60"/>
    <mergeCell ref="A186:B186"/>
    <mergeCell ref="J464:K464"/>
    <mergeCell ref="B358:D358"/>
    <mergeCell ref="A191:B191"/>
    <mergeCell ref="P222:P223"/>
    <mergeCell ref="K324:K325"/>
    <mergeCell ref="A257:B257"/>
    <mergeCell ref="B287:D287"/>
    <mergeCell ref="P317:P321"/>
    <mergeCell ref="F410:G410"/>
    <mergeCell ref="I56:K56"/>
    <mergeCell ref="J430:K430"/>
    <mergeCell ref="M291:N291"/>
    <mergeCell ref="L430:M430"/>
    <mergeCell ref="B289:D289"/>
    <mergeCell ref="A57:C57"/>
    <mergeCell ref="D45:E45"/>
    <mergeCell ref="I302:J302"/>
    <mergeCell ref="F403:G403"/>
    <mergeCell ref="M358:N358"/>
    <mergeCell ref="F326:G326"/>
    <mergeCell ref="D70:E70"/>
    <mergeCell ref="M366:N366"/>
    <mergeCell ref="M360:N360"/>
    <mergeCell ref="A267:B267"/>
    <mergeCell ref="A52:C52"/>
    <mergeCell ref="F355:G355"/>
    <mergeCell ref="G148:H148"/>
    <mergeCell ref="M310:N310"/>
    <mergeCell ref="B378:D378"/>
    <mergeCell ref="L436:M436"/>
    <mergeCell ref="B305:D305"/>
    <mergeCell ref="I59:K59"/>
    <mergeCell ref="A204:B204"/>
    <mergeCell ref="F245:K245"/>
    <mergeCell ref="A269:B269"/>
    <mergeCell ref="F357:G357"/>
    <mergeCell ref="B386:D386"/>
    <mergeCell ref="B411:D411"/>
    <mergeCell ref="A470:E470"/>
    <mergeCell ref="M361:N361"/>
    <mergeCell ref="A231:B231"/>
    <mergeCell ref="N451:O451"/>
    <mergeCell ref="G168:H168"/>
    <mergeCell ref="J45:M45"/>
    <mergeCell ref="A333:B333"/>
    <mergeCell ref="A206:B206"/>
    <mergeCell ref="N245:O245"/>
    <mergeCell ref="A49:C49"/>
    <mergeCell ref="A262:B262"/>
    <mergeCell ref="C326:D326"/>
    <mergeCell ref="I288:J288"/>
    <mergeCell ref="A245:B245"/>
    <mergeCell ref="G236:K236"/>
    <mergeCell ref="A337:B337"/>
    <mergeCell ref="C428:E428"/>
    <mergeCell ref="L405:M405"/>
    <mergeCell ref="L57:M57"/>
    <mergeCell ref="A55:C55"/>
    <mergeCell ref="L413:M413"/>
    <mergeCell ref="I346:J346"/>
    <mergeCell ref="A153:B153"/>
    <mergeCell ref="B308:D308"/>
    <mergeCell ref="I62:K62"/>
    <mergeCell ref="B379:D379"/>
    <mergeCell ref="L407:M407"/>
    <mergeCell ref="B360:D360"/>
    <mergeCell ref="F322:G322"/>
    <mergeCell ref="L151:M151"/>
    <mergeCell ref="N42:O42"/>
    <mergeCell ref="L344:M344"/>
    <mergeCell ref="B372:D372"/>
    <mergeCell ref="I404:J404"/>
    <mergeCell ref="B310:D310"/>
    <mergeCell ref="D66:E66"/>
    <mergeCell ref="N52:O52"/>
    <mergeCell ref="A192:B192"/>
    <mergeCell ref="F350:K350"/>
    <mergeCell ref="D53:E53"/>
    <mergeCell ref="L411:M411"/>
    <mergeCell ref="D47:E47"/>
    <mergeCell ref="I347:J347"/>
    <mergeCell ref="I285:J285"/>
    <mergeCell ref="N44:O44"/>
    <mergeCell ref="A44:C44"/>
    <mergeCell ref="M305:N305"/>
    <mergeCell ref="F345:G345"/>
    <mergeCell ref="B374:D374"/>
    <mergeCell ref="F411:G411"/>
    <mergeCell ref="M292:N292"/>
    <mergeCell ref="L408:M408"/>
    <mergeCell ref="A58:C58"/>
    <mergeCell ref="B361:D361"/>
    <mergeCell ref="A194:B194"/>
    <mergeCell ref="M468:N468"/>
    <mergeCell ref="A181:B181"/>
    <mergeCell ref="M307:N307"/>
    <mergeCell ref="F409:G409"/>
    <mergeCell ref="I372:J372"/>
    <mergeCell ref="L433:M433"/>
    <mergeCell ref="A60:C60"/>
    <mergeCell ref="C431:E431"/>
    <mergeCell ref="M380:N380"/>
    <mergeCell ref="A209:E209"/>
    <mergeCell ref="F346:G346"/>
    <mergeCell ref="I374:J374"/>
    <mergeCell ref="I295:J295"/>
    <mergeCell ref="O328:O329"/>
    <mergeCell ref="A276:B276"/>
    <mergeCell ref="N70:O70"/>
    <mergeCell ref="I438:J438"/>
    <mergeCell ref="F371:G371"/>
    <mergeCell ref="A270:B270"/>
    <mergeCell ref="G474:H474"/>
    <mergeCell ref="I359:J359"/>
    <mergeCell ref="I146:K146"/>
    <mergeCell ref="L401:M401"/>
    <mergeCell ref="J46:M46"/>
    <mergeCell ref="F379:G379"/>
    <mergeCell ref="A334:B334"/>
    <mergeCell ref="P214:P215"/>
    <mergeCell ref="A50:C50"/>
    <mergeCell ref="C334:D334"/>
    <mergeCell ref="A486:E486"/>
    <mergeCell ref="L209:N209"/>
    <mergeCell ref="I296:J296"/>
    <mergeCell ref="F360:G360"/>
    <mergeCell ref="H422:I422"/>
    <mergeCell ref="A271:B271"/>
    <mergeCell ref="A205:B205"/>
    <mergeCell ref="F335:G335"/>
    <mergeCell ref="J48:M48"/>
    <mergeCell ref="F406:G406"/>
    <mergeCell ref="C336:D336"/>
    <mergeCell ref="M287:N287"/>
    <mergeCell ref="B285:D285"/>
    <mergeCell ref="I298:J298"/>
    <mergeCell ref="J480:K480"/>
    <mergeCell ref="A273:B273"/>
    <mergeCell ref="C329:D329"/>
    <mergeCell ref="L157:M157"/>
    <mergeCell ref="L428:M428"/>
    <mergeCell ref="L58:M58"/>
    <mergeCell ref="M282:N282"/>
    <mergeCell ref="L421:M421"/>
    <mergeCell ref="B309:D309"/>
    <mergeCell ref="B380:D380"/>
    <mergeCell ref="L60:M60"/>
    <mergeCell ref="N60:O60"/>
    <mergeCell ref="A200:B200"/>
    <mergeCell ref="L429:M429"/>
    <mergeCell ref="I362:J362"/>
    <mergeCell ref="L152:M152"/>
    <mergeCell ref="I433:J433"/>
    <mergeCell ref="D55:E55"/>
    <mergeCell ref="G153:H153"/>
    <mergeCell ref="G213:K213"/>
    <mergeCell ref="L423:M423"/>
    <mergeCell ref="A156:B156"/>
    <mergeCell ref="M313:N313"/>
    <mergeCell ref="D67:E67"/>
    <mergeCell ref="F546:G546"/>
    <mergeCell ref="F438:H438"/>
    <mergeCell ref="I57:K57"/>
    <mergeCell ref="K335:K336"/>
    <mergeCell ref="G164:H164"/>
    <mergeCell ref="I364:J364"/>
    <mergeCell ref="A202:B202"/>
    <mergeCell ref="N45:O45"/>
    <mergeCell ref="A258:B258"/>
    <mergeCell ref="I413:J413"/>
    <mergeCell ref="N110:N111"/>
    <mergeCell ref="A220:B220"/>
    <mergeCell ref="I291:J291"/>
    <mergeCell ref="F290:G290"/>
    <mergeCell ref="D69:E69"/>
    <mergeCell ref="K63:M63"/>
    <mergeCell ref="I363:J363"/>
    <mergeCell ref="A266:B266"/>
    <mergeCell ref="F367:G367"/>
    <mergeCell ref="F427:G427"/>
    <mergeCell ref="C322:D322"/>
    <mergeCell ref="A260:B260"/>
    <mergeCell ref="N47:O47"/>
    <mergeCell ref="M308:N308"/>
    <mergeCell ref="F354:G354"/>
    <mergeCell ref="B377:D377"/>
    <mergeCell ref="I58:K58"/>
    <mergeCell ref="A197:B197"/>
    <mergeCell ref="F285:G285"/>
    <mergeCell ref="I286:J286"/>
    <mergeCell ref="J547:K547"/>
    <mergeCell ref="G146:H146"/>
    <mergeCell ref="N71:O71"/>
    <mergeCell ref="J549:K549"/>
    <mergeCell ref="A149:B149"/>
    <mergeCell ref="L549:M549"/>
    <mergeCell ref="J476:K476"/>
    <mergeCell ref="L172:M172"/>
    <mergeCell ref="L55:M55"/>
    <mergeCell ref="B393:D393"/>
    <mergeCell ref="E419:G419"/>
    <mergeCell ref="F380:G380"/>
    <mergeCell ref="L171:M171"/>
    <mergeCell ref="I60:K60"/>
    <mergeCell ref="I297:J297"/>
    <mergeCell ref="I368:J368"/>
    <mergeCell ref="M326:N326"/>
    <mergeCell ref="B395:D395"/>
    <mergeCell ref="A150:B150"/>
    <mergeCell ref="A321:B321"/>
    <mergeCell ref="M301:N301"/>
    <mergeCell ref="I312:J312"/>
    <mergeCell ref="A215:B215"/>
    <mergeCell ref="C337:D337"/>
    <mergeCell ref="M337:N337"/>
    <mergeCell ref="I299:J299"/>
    <mergeCell ref="L148:M148"/>
    <mergeCell ref="M355:N355"/>
    <mergeCell ref="A45:C45"/>
    <mergeCell ref="E420:G420"/>
    <mergeCell ref="M309:N309"/>
    <mergeCell ref="A152:B152"/>
    <mergeCell ref="M303:N303"/>
    <mergeCell ref="M330:N330"/>
    <mergeCell ref="G159:H159"/>
    <mergeCell ref="M357:N357"/>
    <mergeCell ref="A46:C46"/>
    <mergeCell ref="G161:H161"/>
    <mergeCell ref="F300:G300"/>
    <mergeCell ref="M304:N304"/>
    <mergeCell ref="F344:G344"/>
    <mergeCell ref="N66:O66"/>
    <mergeCell ref="L53:M53"/>
    <mergeCell ref="A241:B241"/>
    <mergeCell ref="G470:H470"/>
    <mergeCell ref="N53:O53"/>
    <mergeCell ref="A228:B228"/>
    <mergeCell ref="K71:M71"/>
    <mergeCell ref="D44:E44"/>
    <mergeCell ref="G436:H436"/>
    <mergeCell ref="N68:O68"/>
    <mergeCell ref="L166:M166"/>
    <mergeCell ref="N46:O46"/>
    <mergeCell ref="A172:B172"/>
    <mergeCell ref="I365:J365"/>
    <mergeCell ref="F369:G369"/>
    <mergeCell ref="I436:J436"/>
    <mergeCell ref="I292:J292"/>
    <mergeCell ref="F356:G356"/>
    <mergeCell ref="H418:I418"/>
    <mergeCell ref="J44:M44"/>
    <mergeCell ref="N61:O61"/>
    <mergeCell ref="I307:J307"/>
    <mergeCell ref="N48:O48"/>
    <mergeCell ref="I294:J294"/>
    <mergeCell ref="P218:P219"/>
    <mergeCell ref="H420:I420"/>
    <mergeCell ref="K66:M66"/>
    <mergeCell ref="M472:N472"/>
    <mergeCell ref="F370:G370"/>
    <mergeCell ref="L161:M161"/>
    <mergeCell ref="E494:H494"/>
    <mergeCell ref="J497:K497"/>
    <mergeCell ref="B355:D355"/>
    <mergeCell ref="O110:O111"/>
    <mergeCell ref="K68:M68"/>
    <mergeCell ref="M474:N474"/>
    <mergeCell ref="M352:N352"/>
    <mergeCell ref="J478:K478"/>
    <mergeCell ref="C427:E427"/>
    <mergeCell ref="J428:K428"/>
    <mergeCell ref="F293:G293"/>
    <mergeCell ref="M289:N289"/>
    <mergeCell ref="L173:M173"/>
    <mergeCell ref="N164:P164"/>
    <mergeCell ref="I370:J370"/>
    <mergeCell ref="G149:H149"/>
    <mergeCell ref="L145:M145"/>
    <mergeCell ref="F359:G359"/>
    <mergeCell ref="F446:G446"/>
    <mergeCell ref="I447:J447"/>
    <mergeCell ref="I385:J385"/>
    <mergeCell ref="M376:N376"/>
    <mergeCell ref="A66:C66"/>
    <mergeCell ref="L160:M160"/>
    <mergeCell ref="M363:N363"/>
    <mergeCell ref="J47:M47"/>
    <mergeCell ref="G151:H151"/>
    <mergeCell ref="A216:B216"/>
    <mergeCell ref="L174:M174"/>
    <mergeCell ref="I378:J378"/>
    <mergeCell ref="F388:G388"/>
    <mergeCell ref="C343:D343"/>
    <mergeCell ref="F304:G304"/>
    <mergeCell ref="N51:O51"/>
    <mergeCell ref="F375:G375"/>
    <mergeCell ref="L410:M410"/>
    <mergeCell ref="M378:N378"/>
    <mergeCell ref="B398:D398"/>
    <mergeCell ref="I152:K152"/>
    <mergeCell ref="A345:B345"/>
    <mergeCell ref="F368:G368"/>
    <mergeCell ref="C345:D345"/>
    <mergeCell ref="F306:G306"/>
    <mergeCell ref="M371:N371"/>
    <mergeCell ref="F548:G548"/>
    <mergeCell ref="N146:P146"/>
    <mergeCell ref="C430:E430"/>
    <mergeCell ref="G175:H175"/>
    <mergeCell ref="G162:H162"/>
    <mergeCell ref="L163:M163"/>
    <mergeCell ref="M318:O318"/>
    <mergeCell ref="N67:O67"/>
    <mergeCell ref="J545:K545"/>
    <mergeCell ref="M335:N335"/>
    <mergeCell ref="A242:B242"/>
    <mergeCell ref="I373:J373"/>
    <mergeCell ref="F303:G303"/>
    <mergeCell ref="E433:H433"/>
    <mergeCell ref="F401:G401"/>
    <mergeCell ref="N69:O69"/>
    <mergeCell ref="L167:M167"/>
    <mergeCell ref="A184:B184"/>
    <mergeCell ref="I437:J437"/>
    <mergeCell ref="L158:M158"/>
    <mergeCell ref="A171:B171"/>
    <mergeCell ref="M322:N322"/>
    <mergeCell ref="A165:B165"/>
    <mergeCell ref="A336:B336"/>
    <mergeCell ref="B295:D295"/>
    <mergeCell ref="F288:G288"/>
    <mergeCell ref="M284:N284"/>
    <mergeCell ref="I308:J308"/>
    <mergeCell ref="L169:M169"/>
    <mergeCell ref="F143:K143"/>
    <mergeCell ref="A173:B173"/>
    <mergeCell ref="A229:B229"/>
    <mergeCell ref="M482:N482"/>
    <mergeCell ref="I310:J310"/>
    <mergeCell ref="A166:B166"/>
    <mergeCell ref="G155:H155"/>
    <mergeCell ref="D63:E63"/>
    <mergeCell ref="F383:K383"/>
    <mergeCell ref="J550:K550"/>
    <mergeCell ref="K67:M67"/>
    <mergeCell ref="H70:J70"/>
    <mergeCell ref="G480:H480"/>
    <mergeCell ref="I409:J409"/>
    <mergeCell ref="J51:M51"/>
    <mergeCell ref="A168:B168"/>
    <mergeCell ref="I361:J361"/>
    <mergeCell ref="G157:H157"/>
    <mergeCell ref="B371:D371"/>
    <mergeCell ref="J429:K429"/>
    <mergeCell ref="B506:O509"/>
    <mergeCell ref="M290:N290"/>
    <mergeCell ref="D52:E52"/>
    <mergeCell ref="A47:C47"/>
    <mergeCell ref="G172:H172"/>
    <mergeCell ref="J431:K431"/>
    <mergeCell ref="M354:N354"/>
    <mergeCell ref="F298:G298"/>
    <mergeCell ref="L431:M431"/>
    <mergeCell ref="B300:D300"/>
    <mergeCell ref="A255:B255"/>
    <mergeCell ref="I392:J392"/>
    <mergeCell ref="A326:B326"/>
    <mergeCell ref="G484:H484"/>
    <mergeCell ref="F390:G390"/>
    <mergeCell ref="I313:J313"/>
    <mergeCell ref="L545:M545"/>
    <mergeCell ref="A239:B239"/>
    <mergeCell ref="G152:H152"/>
    <mergeCell ref="F291:G291"/>
    <mergeCell ref="L153:M153"/>
    <mergeCell ref="F389:G389"/>
    <mergeCell ref="J482:K482"/>
    <mergeCell ref="G108:K108"/>
    <mergeCell ref="G486:H486"/>
    <mergeCell ref="M208:N208"/>
    <mergeCell ref="M379:N379"/>
    <mergeCell ref="I158:K158"/>
    <mergeCell ref="A219:B219"/>
    <mergeCell ref="F391:G391"/>
    <mergeCell ref="C346:D346"/>
    <mergeCell ref="F385:G385"/>
    <mergeCell ref="M381:N381"/>
    <mergeCell ref="H63:J63"/>
    <mergeCell ref="A332:B332"/>
    <mergeCell ref="C348:D348"/>
    <mergeCell ref="M470:N470"/>
    <mergeCell ref="B512:O515"/>
    <mergeCell ref="L400:M400"/>
    <mergeCell ref="K72:M72"/>
    <mergeCell ref="G468:H468"/>
    <mergeCell ref="L402:M402"/>
    <mergeCell ref="F296:G296"/>
    <mergeCell ref="B290:D290"/>
    <mergeCell ref="D46:E46"/>
    <mergeCell ref="A250:B250"/>
    <mergeCell ref="I334:J334"/>
    <mergeCell ref="L395:M395"/>
    <mergeCell ref="I405:J405"/>
    <mergeCell ref="B367:D367"/>
    <mergeCell ref="N72:O72"/>
    <mergeCell ref="A187:B187"/>
    <mergeCell ref="I380:J380"/>
    <mergeCell ref="K320:K321"/>
    <mergeCell ref="B354:D354"/>
    <mergeCell ref="F416:K416"/>
    <mergeCell ref="B288:D288"/>
    <mergeCell ref="A174:B174"/>
    <mergeCell ref="L406:M406"/>
    <mergeCell ref="F297:G297"/>
    <mergeCell ref="M300:N300"/>
    <mergeCell ref="B298:D298"/>
    <mergeCell ref="I336:J336"/>
    <mergeCell ref="A53:C53"/>
    <mergeCell ref="A189:B189"/>
    <mergeCell ref="A238:B238"/>
    <mergeCell ref="M367:N367"/>
    <mergeCell ref="F302:G302"/>
    <mergeCell ref="I400:J400"/>
    <mergeCell ref="F404:G404"/>
    <mergeCell ref="A68:C68"/>
    <mergeCell ref="D43:E43"/>
    <mergeCell ref="M375:N375"/>
    <mergeCell ref="F366:G366"/>
    <mergeCell ref="M369:N369"/>
    <mergeCell ref="M356:N356"/>
    <mergeCell ref="J422:K422"/>
    <mergeCell ref="F451:H451"/>
    <mergeCell ref="A263:B263"/>
    <mergeCell ref="A48:C48"/>
    <mergeCell ref="D68:E68"/>
    <mergeCell ref="B301:D301"/>
    <mergeCell ref="L388:M388"/>
    <mergeCell ref="A265:B265"/>
    <mergeCell ref="L546:M546"/>
    <mergeCell ref="L154:M154"/>
    <mergeCell ref="B303:D303"/>
    <mergeCell ref="D59:E59"/>
    <mergeCell ref="F177:K177"/>
    <mergeCell ref="A329:B329"/>
    <mergeCell ref="F430:G430"/>
    <mergeCell ref="L390:M390"/>
    <mergeCell ref="H430:I430"/>
    <mergeCell ref="L548:M548"/>
    <mergeCell ref="M372:N372"/>
    <mergeCell ref="F392:G392"/>
    <mergeCell ref="I393:J393"/>
    <mergeCell ref="M295:N295"/>
    <mergeCell ref="J43:M43"/>
    <mergeCell ref="J421:K421"/>
    <mergeCell ref="A162:B162"/>
    <mergeCell ref="M359:N359"/>
    <mergeCell ref="H66:J66"/>
    <mergeCell ref="G476:H476"/>
    <mergeCell ref="A164:B164"/>
    <mergeCell ref="A335:B335"/>
    <mergeCell ref="C335:D335"/>
    <mergeCell ref="D61:E61"/>
    <mergeCell ref="F287:G287"/>
    <mergeCell ref="D48:E48"/>
    <mergeCell ref="A484:E484"/>
    <mergeCell ref="L343:M343"/>
    <mergeCell ref="L403:M403"/>
    <mergeCell ref="I407:J407"/>
    <mergeCell ref="B369:D369"/>
    <mergeCell ref="A63:C63"/>
    <mergeCell ref="A195:B195"/>
    <mergeCell ref="A251:B251"/>
    <mergeCell ref="K328:K329"/>
    <mergeCell ref="F318:G318"/>
    <mergeCell ref="L147:M147"/>
    <mergeCell ref="B356:D356"/>
    <mergeCell ref="F312:G312"/>
    <mergeCell ref="L451:M451"/>
    <mergeCell ref="I284:J284"/>
    <mergeCell ref="B368:D368"/>
    <mergeCell ref="L345:M345"/>
    <mergeCell ref="B306:D306"/>
    <mergeCell ref="I344:J344"/>
    <mergeCell ref="D62:E62"/>
    <mergeCell ref="D56:E56"/>
    <mergeCell ref="A188:B188"/>
    <mergeCell ref="A259:B259"/>
    <mergeCell ref="A253:B253"/>
    <mergeCell ref="F547:G547"/>
    <mergeCell ref="F347:G347"/>
    <mergeCell ref="A240:B240"/>
    <mergeCell ref="I408:J408"/>
    <mergeCell ref="B370:D370"/>
    <mergeCell ref="I402:J402"/>
    <mergeCell ref="D64:E64"/>
    <mergeCell ref="M464:N464"/>
    <mergeCell ref="A190:B190"/>
    <mergeCell ref="B291:D291"/>
    <mergeCell ref="J468:K468"/>
    <mergeCell ref="D51:E51"/>
    <mergeCell ref="F313:G313"/>
    <mergeCell ref="P324:P325"/>
    <mergeCell ref="F549:G549"/>
    <mergeCell ref="M377:N377"/>
    <mergeCell ref="F405:G405"/>
    <mergeCell ref="I410:J410"/>
    <mergeCell ref="A69:C69"/>
    <mergeCell ref="H549:I549"/>
    <mergeCell ref="N152:P152"/>
    <mergeCell ref="M466:N466"/>
    <mergeCell ref="B293:D293"/>
    <mergeCell ref="F407:G407"/>
    <mergeCell ref="E422:G422"/>
    <mergeCell ref="E497:H497"/>
    <mergeCell ref="L422:M422"/>
    <mergeCell ref="I355:J355"/>
    <mergeCell ref="I293:J293"/>
    <mergeCell ref="B388:D388"/>
    <mergeCell ref="I330:J330"/>
    <mergeCell ref="I305:J305"/>
    <mergeCell ref="B375:D375"/>
    <mergeCell ref="B304:D304"/>
    <mergeCell ref="A330:B330"/>
    <mergeCell ref="A208:B208"/>
    <mergeCell ref="C330:D330"/>
    <mergeCell ref="A268:B268"/>
    <mergeCell ref="L427:M427"/>
    <mergeCell ref="I357:J357"/>
    <mergeCell ref="A145:B145"/>
    <mergeCell ref="M296:N296"/>
    <mergeCell ref="A272:B272"/>
    <mergeCell ref="H547:I547"/>
    <mergeCell ref="A203:B203"/>
    <mergeCell ref="M298:N298"/>
    <mergeCell ref="H67:J67"/>
    <mergeCell ref="G154:H154"/>
    <mergeCell ref="A51:C51"/>
    <mergeCell ref="I164:K164"/>
    <mergeCell ref="F337:G337"/>
    <mergeCell ref="L59:M59"/>
    <mergeCell ref="L409:M409"/>
    <mergeCell ref="L61:M61"/>
    <mergeCell ref="B297:D297"/>
    <mergeCell ref="P63:P64"/>
    <mergeCell ref="A261:B261"/>
    <mergeCell ref="L419:M419"/>
    <mergeCell ref="L346:M346"/>
    <mergeCell ref="C120:O120"/>
    <mergeCell ref="N54:O54"/>
    <mergeCell ref="B299:D299"/>
    <mergeCell ref="I53:K53"/>
    <mergeCell ref="I360:J360"/>
    <mergeCell ref="A325:B325"/>
    <mergeCell ref="F364:G364"/>
    <mergeCell ref="I287:J287"/>
    <mergeCell ref="F413:G413"/>
    <mergeCell ref="B376:D376"/>
    <mergeCell ref="D65:E65"/>
    <mergeCell ref="M110:M111"/>
    <mergeCell ref="I352:J352"/>
    <mergeCell ref="B363:D363"/>
    <mergeCell ref="N56:O56"/>
    <mergeCell ref="I55:K55"/>
    <mergeCell ref="A256:B256"/>
    <mergeCell ref="F428:G428"/>
    <mergeCell ref="N43:O43"/>
    <mergeCell ref="A183:B183"/>
    <mergeCell ref="I411:J411"/>
    <mergeCell ref="M480:N480"/>
    <mergeCell ref="B373:D373"/>
    <mergeCell ref="F550:H550"/>
    <mergeCell ref="I345:J345"/>
    <mergeCell ref="A193:B193"/>
    <mergeCell ref="A62:C62"/>
    <mergeCell ref="A264:B264"/>
    <mergeCell ref="P327:P328"/>
    <mergeCell ref="H421:I421"/>
    <mergeCell ref="I282:J282"/>
    <mergeCell ref="I376:J376"/>
    <mergeCell ref="H423:I423"/>
    <mergeCell ref="M297:N297"/>
    <mergeCell ref="I52:M52"/>
    <mergeCell ref="J472:K472"/>
    <mergeCell ref="L168:M168"/>
    <mergeCell ref="N59:O59"/>
    <mergeCell ref="A59:C59"/>
    <mergeCell ref="J466:K466"/>
    <mergeCell ref="M302:N302"/>
    <mergeCell ref="A147:B147"/>
    <mergeCell ref="I371:J371"/>
    <mergeCell ref="L438:M438"/>
    <mergeCell ref="A274:B274"/>
    <mergeCell ref="I358:J358"/>
    <mergeCell ref="A61:C61"/>
    <mergeCell ref="F362:G362"/>
    <mergeCell ref="G173:H173"/>
    <mergeCell ref="B500:O503"/>
    <mergeCell ref="A54:C54"/>
    <mergeCell ref="F299:G299"/>
    <mergeCell ref="I300:J300"/>
    <mergeCell ref="A148:B148"/>
    <mergeCell ref="F545:G545"/>
    <mergeCell ref="M299:N299"/>
    <mergeCell ref="A275:B275"/>
    <mergeCell ref="F376:G376"/>
    <mergeCell ref="I335:J335"/>
    <mergeCell ref="I406:J406"/>
    <mergeCell ref="F363:G363"/>
    <mergeCell ref="A56:C56"/>
    <mergeCell ref="H428:I428"/>
    <mergeCell ref="G170:H170"/>
    <mergeCell ref="G437:H437"/>
    <mergeCell ref="C333:D333"/>
    <mergeCell ref="F365:G365"/>
    <mergeCell ref="A252:B252"/>
    <mergeCell ref="O324:O325"/>
    <mergeCell ref="L62:M62"/>
    <mergeCell ref="N62:O62"/>
    <mergeCell ref="L347:M347"/>
    <mergeCell ref="L418:M418"/>
    <mergeCell ref="A158:B158"/>
    <mergeCell ref="I326:J326"/>
    <mergeCell ref="I289:J289"/>
    <mergeCell ref="J423:K423"/>
    <mergeCell ref="N64:O64"/>
    <mergeCell ref="L162:M162"/>
    <mergeCell ref="L156:M156"/>
    <mergeCell ref="K117:L117"/>
    <mergeCell ref="A160:B160"/>
    <mergeCell ref="K69:M69"/>
    <mergeCell ref="N57:O57"/>
    <mergeCell ref="B302:D302"/>
    <mergeCell ref="I303:J303"/>
    <mergeCell ref="D58:E58"/>
    <mergeCell ref="A41:G41"/>
    <mergeCell ref="B404:D404"/>
    <mergeCell ref="A159:B159"/>
    <mergeCell ref="F429:G429"/>
    <mergeCell ref="I290:J290"/>
    <mergeCell ref="F294:G294"/>
    <mergeCell ref="A224:B224"/>
    <mergeCell ref="B366:D366"/>
    <mergeCell ref="A199:B199"/>
    <mergeCell ref="F431:G431"/>
    <mergeCell ref="I354:J354"/>
    <mergeCell ref="A161:B161"/>
    <mergeCell ref="H431:I431"/>
    <mergeCell ref="G150:H150"/>
    <mergeCell ref="F358:G358"/>
    <mergeCell ref="M312:N312"/>
    <mergeCell ref="F352:G352"/>
    <mergeCell ref="K64:M64"/>
    <mergeCell ref="L110:L111"/>
    <mergeCell ref="H68:J68"/>
    <mergeCell ref="A65:C65"/>
    <mergeCell ref="J474:K474"/>
    <mergeCell ref="G478:H478"/>
    <mergeCell ref="H545:I545"/>
    <mergeCell ref="F289:G289"/>
    <mergeCell ref="M285:N285"/>
    <mergeCell ref="I379:J379"/>
    <mergeCell ref="I366:J366"/>
    <mergeCell ref="G145:H145"/>
    <mergeCell ref="L146:M146"/>
    <mergeCell ref="H69:J69"/>
    <mergeCell ref="A346:B346"/>
    <mergeCell ref="F447:G447"/>
    <mergeCell ref="G160:H160"/>
    <mergeCell ref="G147:H147"/>
    <mergeCell ref="G174:H174"/>
    <mergeCell ref="A277:B277"/>
    <mergeCell ref="F378:G378"/>
    <mergeCell ref="I301:J301"/>
    <mergeCell ref="M374:N374"/>
    <mergeCell ref="A72:F72"/>
    <mergeCell ref="A154:B154"/>
    <mergeCell ref="F373:G373"/>
    <mergeCell ref="A468:E468"/>
    <mergeCell ref="H429:I429"/>
    <mergeCell ref="L393:M393"/>
    <mergeCell ref="H548:I548"/>
    <mergeCell ref="M478:N478"/>
    <mergeCell ref="L159:M159"/>
    <mergeCell ref="G163:H163"/>
    <mergeCell ref="F76:L76"/>
    <mergeCell ref="M336:N336"/>
    <mergeCell ref="L164:M164"/>
    <mergeCell ref="I494:L494"/>
    <mergeCell ref="E126:G126"/>
    <mergeCell ref="G165:H165"/>
    <mergeCell ref="A230:B230"/>
    <mergeCell ref="E421:G421"/>
    <mergeCell ref="N65:O65"/>
    <mergeCell ref="B476:E476"/>
    <mergeCell ref="I367:J367"/>
    <mergeCell ref="J470:K470"/>
    <mergeCell ref="G158:H158"/>
    <mergeCell ref="A167:B167"/>
    <mergeCell ref="A232:B232"/>
    <mergeCell ref="F284:G284"/>
    <mergeCell ref="I304:J304"/>
    <mergeCell ref="N63:O63"/>
    <mergeCell ref="I375:J375"/>
    <mergeCell ref="G169:H169"/>
    <mergeCell ref="A182:B182"/>
    <mergeCell ref="I369:J369"/>
    <mergeCell ref="B478:E478"/>
    <mergeCell ref="N50:O50"/>
    <mergeCell ref="A225:B225"/>
    <mergeCell ref="I356:J356"/>
    <mergeCell ref="F144:K144"/>
    <mergeCell ref="F292:G292"/>
    <mergeCell ref="F286:G286"/>
    <mergeCell ref="I306:J306"/>
    <mergeCell ref="F372:G372"/>
    <mergeCell ref="J11:O13"/>
    <mergeCell ref="F310:G310"/>
    <mergeCell ref="B407:D407"/>
    <mergeCell ref="M362:N362"/>
    <mergeCell ref="H117:I117"/>
    <mergeCell ref="A480:E480"/>
    <mergeCell ref="A227:B227"/>
    <mergeCell ref="H546:I546"/>
    <mergeCell ref="K70:M70"/>
    <mergeCell ref="M476:N476"/>
    <mergeCell ref="J546:K546"/>
    <mergeCell ref="F374:G374"/>
    <mergeCell ref="I435:J435"/>
    <mergeCell ref="O335:O336"/>
    <mergeCell ref="F361:G361"/>
    <mergeCell ref="C429:E429"/>
    <mergeCell ref="M364:N364"/>
    <mergeCell ref="I451:J451"/>
    <mergeCell ref="B359:D359"/>
    <mergeCell ref="J548:K548"/>
    <mergeCell ref="K65:M65"/>
    <mergeCell ref="A179:B179"/>
    <mergeCell ref="J427:K427"/>
    <mergeCell ref="I322:J322"/>
    <mergeCell ref="B296:D296"/>
    <mergeCell ref="H419:I419"/>
    <mergeCell ref="A322:B322"/>
    <mergeCell ref="C347:D347"/>
    <mergeCell ref="I309:J309"/>
    <mergeCell ref="J419:K419"/>
    <mergeCell ref="J49:M49"/>
    <mergeCell ref="L149:M149"/>
    <mergeCell ref="L447:M447"/>
    <mergeCell ref="I446:J446"/>
    <mergeCell ref="L385:M385"/>
    <mergeCell ref="G482:H482"/>
    <mergeCell ref="A180:B180"/>
    <mergeCell ref="G460:J460"/>
    <mergeCell ref="A155:B155"/>
    <mergeCell ref="L435:N435"/>
    <mergeCell ref="I448:J448"/>
    <mergeCell ref="F343:G343"/>
    <mergeCell ref="A313:D313"/>
    <mergeCell ref="N55:O55"/>
    <mergeCell ref="B466:E466"/>
    <mergeCell ref="A328:B328"/>
    <mergeCell ref="G341:K341"/>
    <mergeCell ref="C344:D344"/>
    <mergeCell ref="M368:N368"/>
    <mergeCell ref="G316:K316"/>
    <mergeCell ref="E423:G423"/>
    <mergeCell ref="L175:M175"/>
    <mergeCell ref="F309:G309"/>
    <mergeCell ref="M334:N334"/>
    <mergeCell ref="G166:H166"/>
    <mergeCell ref="F305:G305"/>
    <mergeCell ref="G464:H464"/>
    <mergeCell ref="I337:J337"/>
    <mergeCell ref="D49:E49"/>
    <mergeCell ref="B364:D364"/>
    <mergeCell ref="O320:O321"/>
    <mergeCell ref="H65:J65"/>
    <mergeCell ref="B413:D413"/>
    <mergeCell ref="I377:J377"/>
    <mergeCell ref="A472:E472"/>
    <mergeCell ref="N58:O58"/>
    <mergeCell ref="F307:G307"/>
    <mergeCell ref="A233:B233"/>
    <mergeCell ref="F334:G334"/>
    <mergeCell ref="G466:H466"/>
    <mergeCell ref="I395:J395"/>
    <mergeCell ref="I401:J401"/>
    <mergeCell ref="I318:K318"/>
    <mergeCell ref="J486:K486"/>
    <mergeCell ref="B284:D284"/>
    <mergeCell ref="G167:H167"/>
    <mergeCell ref="A248:B248"/>
    <mergeCell ref="A175:B175"/>
    <mergeCell ref="I403:J403"/>
    <mergeCell ref="F336:G336"/>
    <mergeCell ref="M484:N484"/>
    <mergeCell ref="A247:B247"/>
    <mergeCell ref="M288:N288"/>
    <mergeCell ref="A185:B185"/>
    <mergeCell ref="B286:D286"/>
    <mergeCell ref="F308:G308"/>
    <mergeCell ref="F280:K280"/>
    <mergeCell ref="F400:G400"/>
    <mergeCell ref="A64:C64"/>
    <mergeCell ref="L389:M389"/>
    <mergeCell ref="M486:N486"/>
    <mergeCell ref="F448:H448"/>
    <mergeCell ref="M365:N365"/>
    <mergeCell ref="L155:M155"/>
    <mergeCell ref="P231:P232"/>
    <mergeCell ref="F402:G402"/>
    <mergeCell ref="J418:K418"/>
    <mergeCell ref="H427:I427"/>
    <mergeCell ref="L391:M391"/>
    <mergeCell ref="D54:E54"/>
    <mergeCell ref="F377:G377"/>
    <mergeCell ref="L170:M170"/>
    <mergeCell ref="M373:N373"/>
    <mergeCell ref="J41:P41"/>
    <mergeCell ref="M294:N294"/>
    <mergeCell ref="A201:B201"/>
    <mergeCell ref="B362:D362"/>
    <mergeCell ref="J420:K420"/>
    <mergeCell ref="I388:J388"/>
    <mergeCell ref="L420:M420"/>
    <mergeCell ref="L547:M547"/>
    <mergeCell ref="B312:D312"/>
    <mergeCell ref="J50:M50"/>
    <mergeCell ref="L150:M150"/>
    <mergeCell ref="L392:M392"/>
    <mergeCell ref="J484:K484"/>
    <mergeCell ref="P332:P333"/>
    <mergeCell ref="I390:J390"/>
    <mergeCell ref="L165:M165"/>
    <mergeCell ref="B474:E474"/>
    <mergeCell ref="F301:G301"/>
    <mergeCell ref="G156:H156"/>
    <mergeCell ref="F295:G295"/>
    <mergeCell ref="A196:B196"/>
    <mergeCell ref="I389:J389"/>
    <mergeCell ref="F393:G393"/>
    <mergeCell ref="D57:E57"/>
    <mergeCell ref="F282:G282"/>
    <mergeCell ref="M370:N370"/>
    <mergeCell ref="N158:P158"/>
    <mergeCell ref="F330:G330"/>
    <mergeCell ref="A223:B223"/>
    <mergeCell ref="A198:B198"/>
    <mergeCell ref="M293:N293"/>
    <mergeCell ref="F395:G395"/>
    <mergeCell ref="I391:J391"/>
    <mergeCell ref="L446:M446"/>
    <mergeCell ref="G472:H472"/>
    <mergeCell ref="M286:N286"/>
    <mergeCell ref="L54:M54"/>
    <mergeCell ref="A254:B254"/>
    <mergeCell ref="E130:G130"/>
    <mergeCell ref="I343:J343"/>
    <mergeCell ref="L404:M404"/>
    <mergeCell ref="B365:D365"/>
    <mergeCell ref="L56:M56"/>
    <mergeCell ref="B292:D292"/>
    <mergeCell ref="L550:M550"/>
    <mergeCell ref="P227:P228"/>
    <mergeCell ref="B357:D357"/>
    <mergeCell ref="A482:E482"/>
    <mergeCell ref="A348:B348"/>
    <mergeCell ref="B307:D307"/>
    <mergeCell ref="I61:K61"/>
    <mergeCell ref="N49:O49"/>
    <mergeCell ref="B294:D294"/>
    <mergeCell ref="A249:B249"/>
    <mergeCell ref="D50:E50"/>
    <mergeCell ref="A347:B347"/>
  </mergeCells>
  <conditionalFormatting sqref="L21">
    <cfRule type="cellIs" priority="1" operator="greaterThan" dxfId="1">
      <formula>0</formula>
    </cfRule>
    <cfRule type="cellIs" priority="2" operator="equal" dxfId="2">
      <formula>0</formula>
    </cfRule>
    <cfRule type="expression" priority="3" dxfId="3" stopIfTrue="1">
      <formula>"$D$20=""MÓDULOS"""</formula>
    </cfRule>
    <cfRule type="expression" priority="4" dxfId="4" stopIfTrue="1">
      <formula>"$D$20=""MÓDULOS"""</formula>
    </cfRule>
    <cfRule type="cellIs" priority="5" operator="greaterThan" dxfId="3" stopIfTrue="1">
      <formula>0</formula>
    </cfRule>
  </conditionalFormatting>
  <pageMargins left="0.7086614173228347" right="0" top="0.9448818897637796" bottom="0.7480314960629921" header="0" footer="0"/>
  <pageSetup orientation="landscape" paperSize="9"/>
  <headerFooter>
    <oddHeader/>
    <oddFooter>&amp;L00-047&amp;F&amp;C03+079Metodología INCYNCO&amp;R00-045Cuánto y Cuándo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JICV</dc:creator>
  <dcterms:created xsi:type="dcterms:W3CDTF">2002-10-11T15:16:07Z</dcterms:created>
  <dcterms:modified xsi:type="dcterms:W3CDTF">2026-07-31T21:59:36Z</dcterms:modified>
</cp:coreProperties>
</file>