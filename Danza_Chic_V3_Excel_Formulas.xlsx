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Índice" sheetId="1" state="visible" r:id="rId1"/>
    <sheet name="Datos Internos" sheetId="2" state="visible" r:id="rId2"/>
    <sheet name="Modelo Financiero" sheetId="3" state="visible" r:id="rId3"/>
    <sheet name="Auditoría Capacidad" sheetId="4" state="visible" r:id="rId4"/>
    <sheet name="Análisis Abandono" sheetId="5" state="visible" r:id="rId5"/>
    <sheet name="Satisfacción NPS" sheetId="6" state="visible" r:id="rId6"/>
    <sheet name="DAFO" sheetId="7" state="visible" r:id="rId7"/>
    <sheet name="Canales" sheetId="8" state="visible" r:id="rId8"/>
    <sheet name="Experimentos" sheetId="9" state="visible" r:id="rId9"/>
    <sheet name="Árbol Decisión" sheetId="10" state="visible" r:id="rId10"/>
    <sheet name="Cuadro Mando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"/>
    <numFmt numFmtId="165" formatCode="0.0%"/>
  </numFmts>
  <fonts count="13">
    <font>
      <name val="Calibri"/>
      <family val="2"/>
      <color theme="1"/>
      <sz val="11"/>
      <scheme val="minor"/>
    </font>
    <font>
      <name val="Arial"/>
      <b val="1"/>
      <color rgb="001F4E78"/>
      <sz val="14"/>
    </font>
    <font>
      <name val="Arial"/>
      <i val="1"/>
      <sz val="10"/>
    </font>
    <font>
      <name val="Arial"/>
      <b val="1"/>
      <color rgb="00FFFFFF"/>
      <sz val="12"/>
    </font>
    <font>
      <name val="Arial"/>
      <color rgb="000070C0"/>
      <sz val="10"/>
      <u val="single"/>
    </font>
    <font>
      <name val="Arial"/>
      <sz val="10"/>
    </font>
    <font>
      <name val="Arial"/>
      <i val="1"/>
      <color rgb="00FF0000"/>
      <sz val="9"/>
    </font>
    <font>
      <name val="Arial"/>
      <color rgb="000070C0"/>
      <sz val="10"/>
    </font>
    <font>
      <name val="Arial"/>
      <color rgb="00000000"/>
      <sz val="10"/>
    </font>
    <font>
      <name val="Arial"/>
      <b val="1"/>
      <sz val="11"/>
    </font>
    <font>
      <name val="Arial"/>
      <b val="1"/>
      <color rgb="00FF0000"/>
      <sz val="10"/>
    </font>
    <font>
      <name val="Arial"/>
      <b val="1"/>
      <color rgb="00FFFFFF"/>
      <sz val="11"/>
    </font>
    <font>
      <name val="Courier New"/>
      <sz val="9"/>
    </font>
  </fonts>
  <fills count="9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FFFF00"/>
        <bgColor rgb="00FFFF00"/>
      </patternFill>
    </fill>
    <fill>
      <patternFill patternType="solid">
        <fgColor rgb="00E2EFDA"/>
        <bgColor rgb="00E2EFDA"/>
      </patternFill>
    </fill>
    <fill>
      <patternFill patternType="solid">
        <fgColor rgb="0000B050"/>
        <bgColor rgb="0000B050"/>
      </patternFill>
    </fill>
    <fill>
      <patternFill patternType="solid">
        <fgColor rgb="00FF0000"/>
        <bgColor rgb="00FF0000"/>
      </patternFill>
    </fill>
    <fill>
      <patternFill patternType="solid">
        <fgColor rgb="000070C0"/>
        <bgColor rgb="000070C0"/>
      </patternFill>
    </fill>
    <fill>
      <patternFill patternType="solid">
        <fgColor rgb="00FFC000"/>
        <bgColor rgb="00FFC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5" fillId="0" borderId="1" pivotButton="0" quotePrefix="0" xfId="0"/>
    <xf numFmtId="0" fontId="5" fillId="3" borderId="1" pivotButton="0" quotePrefix="0" xfId="0"/>
    <xf numFmtId="164" fontId="7" fillId="3" borderId="0" pivotButton="0" quotePrefix="0" xfId="0"/>
    <xf numFmtId="164" fontId="8" fillId="3" borderId="0" pivotButton="0" quotePrefix="0" xfId="0"/>
    <xf numFmtId="164" fontId="8" fillId="0" borderId="0" pivotButton="0" quotePrefix="0" xfId="0"/>
    <xf numFmtId="0" fontId="0" fillId="0" borderId="1" pivotButton="0" quotePrefix="0" xfId="0"/>
    <xf numFmtId="164" fontId="7" fillId="3" borderId="1" applyAlignment="1" pivotButton="0" quotePrefix="0" xfId="0">
      <alignment horizontal="right" vertical="center"/>
    </xf>
    <xf numFmtId="164" fontId="8" fillId="0" borderId="1" applyAlignment="1" pivotButton="0" quotePrefix="0" xfId="0">
      <alignment horizontal="right" vertical="center"/>
    </xf>
    <xf numFmtId="1" fontId="8" fillId="0" borderId="0" pivotButton="0" quotePrefix="0" xfId="0"/>
    <xf numFmtId="49" fontId="7" fillId="3" borderId="1" pivotButton="0" quotePrefix="0" xfId="0"/>
    <xf numFmtId="1" fontId="8" fillId="0" borderId="1" pivotButton="0" quotePrefix="0" xfId="0"/>
    <xf numFmtId="165" fontId="0" fillId="0" borderId="0" pivotButton="0" quotePrefix="0" xfId="0"/>
    <xf numFmtId="0" fontId="9" fillId="0" borderId="0" pivotButton="0" quotePrefix="0" xfId="0"/>
    <xf numFmtId="165" fontId="7" fillId="3" borderId="1" pivotButton="0" quotePrefix="0" xfId="0"/>
    <xf numFmtId="0" fontId="0" fillId="3" borderId="1" pivotButton="0" quotePrefix="0" xfId="0"/>
    <xf numFmtId="165" fontId="8" fillId="0" borderId="1" pivotButton="0" quotePrefix="0" xfId="0"/>
    <xf numFmtId="0" fontId="10" fillId="0" borderId="0" pivotButton="0" quotePrefix="0" xfId="0"/>
    <xf numFmtId="0" fontId="7" fillId="3" borderId="1" pivotButton="0" quotePrefix="0" xfId="0"/>
    <xf numFmtId="0" fontId="7" fillId="3" borderId="0" pivotButton="0" quotePrefix="0" xfId="0"/>
    <xf numFmtId="165" fontId="8" fillId="4" borderId="0" pivotButton="0" quotePrefix="0" xfId="0"/>
    <xf numFmtId="0" fontId="11" fillId="5" borderId="0" pivotButton="0" quotePrefix="0" xfId="0"/>
    <xf numFmtId="0" fontId="11" fillId="6" borderId="0" pivotButton="0" quotePrefix="0" xfId="0"/>
    <xf numFmtId="0" fontId="11" fillId="7" borderId="0" pivotButton="0" quotePrefix="0" xfId="0"/>
    <xf numFmtId="0" fontId="11" fillId="8" borderId="0" pivotButton="0" quotePrefix="0" xfId="0"/>
    <xf numFmtId="0" fontId="5" fillId="0" borderId="0" applyAlignment="1" pivotButton="0" quotePrefix="0" xfId="0">
      <alignment horizontal="left" vertical="center" wrapText="1"/>
    </xf>
    <xf numFmtId="0" fontId="12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5" customWidth="1" min="1" max="1"/>
    <col width="50" customWidth="1" min="2" max="2"/>
  </cols>
  <sheetData>
    <row r="1">
      <c r="A1" s="1" t="inlineStr">
        <is>
          <t>DANZA CHIC V3.0 — DOCUMENTO VIVO DE GESTIÓN</t>
        </is>
      </c>
    </row>
    <row r="2">
      <c r="A2" s="2" t="inlineStr">
        <is>
          <t>Mérida, Venezuela | 24 de julio de 2026</t>
        </is>
      </c>
    </row>
    <row r="4">
      <c r="A4" s="3" t="inlineStr">
        <is>
          <t>NAVEGACIÓN POR HOJAS</t>
        </is>
      </c>
    </row>
    <row r="5">
      <c r="A5" s="4" t="inlineStr">
        <is>
          <t>Datos Internos</t>
        </is>
      </c>
      <c r="B5" s="5" t="inlineStr">
        <is>
          <t>Bloque 0: Datos obligatorios</t>
        </is>
      </c>
    </row>
    <row r="6">
      <c r="A6" s="4" t="inlineStr">
        <is>
          <t>Modelo Financiero</t>
        </is>
      </c>
      <c r="B6" s="5" t="inlineStr">
        <is>
          <t>Bloque 3: 3 escenarios con fórmulas</t>
        </is>
      </c>
    </row>
    <row r="7">
      <c r="A7" s="4" t="inlineStr">
        <is>
          <t>Auditoría Capacidad</t>
        </is>
      </c>
      <c r="B7" s="5" t="inlineStr">
        <is>
          <t>Bloque 4: Ocupación y capacidad</t>
        </is>
      </c>
    </row>
    <row r="8">
      <c r="A8" s="4" t="inlineStr">
        <is>
          <t>Análisis Abandono</t>
        </is>
      </c>
      <c r="B8" s="5" t="inlineStr">
        <is>
          <t>Bloque 5: Motivos de abandono</t>
        </is>
      </c>
    </row>
    <row r="9">
      <c r="A9" s="4" t="inlineStr">
        <is>
          <t>Satisfacción NPS</t>
        </is>
      </c>
      <c r="B9" s="5" t="inlineStr">
        <is>
          <t>Bloque 6: Encuesta y NPS</t>
        </is>
      </c>
    </row>
    <row r="10">
      <c r="A10" s="4" t="inlineStr">
        <is>
          <t>DAFO</t>
        </is>
      </c>
      <c r="B10" s="5" t="inlineStr">
        <is>
          <t>Bloque 9: Matriz DAFO</t>
        </is>
      </c>
    </row>
    <row r="11">
      <c r="A11" s="4" t="inlineStr">
        <is>
          <t>Canales</t>
        </is>
      </c>
      <c r="B11" s="5" t="inlineStr">
        <is>
          <t>Bloque 11: Canales de adquisición</t>
        </is>
      </c>
    </row>
    <row r="12">
      <c r="A12" s="4" t="inlineStr">
        <is>
          <t>Experimentos</t>
        </is>
      </c>
      <c r="B12" s="5" t="inlineStr">
        <is>
          <t>Bloque 12: Plan de validación</t>
        </is>
      </c>
    </row>
    <row r="13">
      <c r="A13" s="4" t="inlineStr">
        <is>
          <t>Árbol Decisión</t>
        </is>
      </c>
      <c r="B13" s="5" t="inlineStr">
        <is>
          <t>Bloque 13: Lógica de decisión</t>
        </is>
      </c>
    </row>
    <row r="14">
      <c r="A14" s="4" t="inlineStr">
        <is>
          <t>Cuadro Mando</t>
        </is>
      </c>
      <c r="B14" s="5" t="inlineStr">
        <is>
          <t>Bloque 10: KPIs mensuales (corazón del documento)</t>
        </is>
      </c>
    </row>
  </sheetData>
  <mergeCells count="3">
    <mergeCell ref="A4:B4"/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2"/>
  <sheetViews>
    <sheetView workbookViewId="0">
      <selection activeCell="A1" sqref="A1"/>
    </sheetView>
  </sheetViews>
  <sheetFormatPr baseColWidth="8" defaultRowHeight="15"/>
  <cols>
    <col width="40" customWidth="1" min="1" max="1"/>
    <col width="25" customWidth="1" min="2" max="2"/>
    <col width="25" customWidth="1" min="3" max="3"/>
    <col width="30" customWidth="1" min="4" max="4"/>
  </cols>
  <sheetData>
    <row r="1">
      <c r="A1" s="1" t="inlineStr">
        <is>
          <t>BLOQUE 0: DATOS INTERNOS OBLIGATORIOS</t>
        </is>
      </c>
    </row>
    <row r="2">
      <c r="A2" s="6" t="inlineStr">
        <is>
          <t>⚠️ Sin estos datos, TODO el resto es especulación. COMPLETAR ANTES DE USAR.</t>
        </is>
      </c>
    </row>
    <row r="4">
      <c r="A4" s="7" t="inlineStr">
        <is>
          <t>Dato</t>
        </is>
      </c>
      <c r="B4" s="7" t="inlineStr">
        <is>
          <t>Valor actual</t>
        </is>
      </c>
      <c r="C4" s="7" t="inlineStr">
        <is>
          <t>Fecha actualización</t>
        </is>
      </c>
      <c r="D4" s="7" t="inlineStr">
        <is>
          <t>Fuente</t>
        </is>
      </c>
    </row>
    <row r="5">
      <c r="A5" s="8" t="inlineStr">
        <is>
          <t>Años funcionando</t>
        </is>
      </c>
      <c r="B5" s="9" t="n"/>
      <c r="C5" s="8" t="n"/>
      <c r="D5" s="8" t="inlineStr">
        <is>
          <t>Hermana</t>
        </is>
      </c>
    </row>
    <row r="6">
      <c r="A6" s="8" t="inlineStr">
        <is>
          <t>Alumnas actuales (total)</t>
        </is>
      </c>
      <c r="B6" s="9" t="n"/>
      <c r="C6" s="8" t="n"/>
      <c r="D6" s="8" t="inlineStr">
        <is>
          <t>Registro interno</t>
        </is>
      </c>
    </row>
    <row r="7">
      <c r="A7" s="8" t="inlineStr">
        <is>
          <t>Alumnas históricas (máximo)</t>
        </is>
      </c>
      <c r="B7" s="9" t="n"/>
      <c r="C7" s="8" t="n"/>
      <c r="D7" s="8" t="inlineStr">
        <is>
          <t>Registro interno</t>
        </is>
      </c>
    </row>
    <row r="8">
      <c r="A8" s="8" t="inlineStr">
        <is>
          <t>Mensualidad actual (USD)</t>
        </is>
      </c>
      <c r="B8" s="9" t="n"/>
      <c r="C8" s="8" t="n"/>
      <c r="D8" s="8" t="inlineStr">
        <is>
          <t>Hermana</t>
        </is>
      </c>
    </row>
    <row r="9">
      <c r="A9" s="8" t="inlineStr">
        <is>
          <t>Ingreso mensual actual (USD)</t>
        </is>
      </c>
      <c r="B9" s="9" t="n"/>
      <c r="C9" s="8" t="n"/>
      <c r="D9" s="8" t="inlineStr">
        <is>
          <t>Registro interno</t>
        </is>
      </c>
    </row>
    <row r="10">
      <c r="A10" s="8" t="inlineStr">
        <is>
          <t>Clases que da la propietaria</t>
        </is>
      </c>
      <c r="B10" s="9" t="n"/>
      <c r="C10" s="8" t="n"/>
      <c r="D10" s="8" t="inlineStr">
        <is>
          <t>Hermana</t>
        </is>
      </c>
    </row>
    <row r="11">
      <c r="A11" s="8" t="inlineStr">
        <is>
          <t>Clases que dan profesores contratados</t>
        </is>
      </c>
      <c r="B11" s="9" t="n"/>
      <c r="C11" s="8" t="n"/>
      <c r="D11" s="8" t="inlineStr">
        <is>
          <t>Hermana</t>
        </is>
      </c>
    </row>
    <row r="12">
      <c r="A12" s="8" t="inlineStr">
        <is>
          <t>Alumnas por recomendación (%)</t>
        </is>
      </c>
      <c r="B12" s="9" t="n"/>
      <c r="C12" s="8" t="n"/>
      <c r="D12" s="8" t="inlineStr">
        <is>
          <t>Encuesta madres</t>
        </is>
      </c>
    </row>
    <row r="13">
      <c r="A13" s="8" t="inlineStr">
        <is>
          <t>Alumnas que preguntan pero no se inscriben</t>
        </is>
      </c>
      <c r="B13" s="9" t="n"/>
      <c r="C13" s="8" t="n"/>
      <c r="D13" s="8" t="inlineStr">
        <is>
          <t>Registro interno</t>
        </is>
      </c>
    </row>
    <row r="14">
      <c r="A14" s="8" t="inlineStr">
        <is>
          <t>Alumnas que abandonan al mes 1</t>
        </is>
      </c>
      <c r="B14" s="9" t="n"/>
      <c r="C14" s="8" t="n"/>
      <c r="D14" s="8" t="inlineStr">
        <is>
          <t>Registro interno</t>
        </is>
      </c>
    </row>
    <row r="15">
      <c r="A15" s="8" t="inlineStr">
        <is>
          <t>Tiempo promedio de permanencia (meses)</t>
        </is>
      </c>
      <c r="B15" s="9" t="n"/>
      <c r="C15" s="8" t="n"/>
      <c r="D15" s="8" t="inlineStr">
        <is>
          <t>Registro interno</t>
        </is>
      </c>
    </row>
    <row r="16">
      <c r="A16" s="8" t="inlineStr">
        <is>
          <t>Eventos realizados (último año)</t>
        </is>
      </c>
      <c r="B16" s="9" t="n"/>
      <c r="C16" s="8" t="n"/>
      <c r="D16" s="8" t="inlineStr">
        <is>
          <t>Hermana</t>
        </is>
      </c>
    </row>
    <row r="17">
      <c r="A17" s="8" t="inlineStr">
        <is>
          <t>Alianzas con colegios activas</t>
        </is>
      </c>
      <c r="B17" s="9" t="n"/>
      <c r="C17" s="8" t="n"/>
      <c r="D17" s="8" t="inlineStr">
        <is>
          <t>Hermana</t>
        </is>
      </c>
    </row>
    <row r="18">
      <c r="A18" s="8" t="inlineStr">
        <is>
          <t>Total clientes históricos</t>
        </is>
      </c>
      <c r="B18" s="9" t="n"/>
      <c r="C18" s="8" t="n"/>
      <c r="D18" s="8" t="inlineStr">
        <is>
          <t>Registro interno</t>
        </is>
      </c>
    </row>
    <row r="19">
      <c r="A19" s="8" t="inlineStr">
        <is>
          <t>Testimonios recopilados</t>
        </is>
      </c>
      <c r="B19" s="9" t="n"/>
      <c r="C19" s="8" t="n"/>
      <c r="D19" s="8" t="inlineStr">
        <is>
          <t>Hermana</t>
        </is>
      </c>
    </row>
    <row r="20">
      <c r="A20" s="8" t="inlineStr">
        <is>
          <t>Instagram followers</t>
        </is>
      </c>
      <c r="B20" s="9" t="n"/>
      <c r="C20" s="8" t="n"/>
      <c r="D20" s="8" t="inlineStr">
        <is>
          <t>Redes sociales</t>
        </is>
      </c>
    </row>
    <row r="21">
      <c r="A21" s="8" t="inlineStr">
        <is>
          <t>Facebook followers</t>
        </is>
      </c>
      <c r="B21" s="9" t="n"/>
      <c r="C21" s="8" t="n"/>
      <c r="D21" s="8" t="inlineStr">
        <is>
          <t>Redes sociales</t>
        </is>
      </c>
    </row>
    <row r="22">
      <c r="A22" s="8" t="inlineStr">
        <is>
          <t>Mayor problema actual (propietaria)</t>
        </is>
      </c>
      <c r="B22" s="9" t="n"/>
      <c r="C22" s="8" t="n"/>
      <c r="D22" s="8" t="inlineStr">
        <is>
          <t>Hermana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8"/>
  <sheetViews>
    <sheetView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1" t="inlineStr">
        <is>
          <t>BLOQUE 3: MODELO FINANCIERO ILUSTRATIVO</t>
        </is>
      </c>
    </row>
    <row r="2">
      <c r="A2" s="6" t="inlineStr">
        <is>
          <t>⚠️ MODELO ILUSTRATIVO — Supuestos no validados. Sustituir por datos reales.</t>
        </is>
      </c>
    </row>
    <row r="4">
      <c r="A4" s="3" t="inlineStr">
        <is>
          <t>SUPUESTOS (EDITAR)</t>
        </is>
      </c>
    </row>
    <row r="5">
      <c r="A5" t="inlineStr">
        <is>
          <t>Precio mensualidad (USD)</t>
        </is>
      </c>
    </row>
    <row r="6">
      <c r="A6" t="inlineStr">
        <is>
          <t>Coste variable por alumna (USD)</t>
        </is>
      </c>
    </row>
    <row r="7">
      <c r="A7" t="inlineStr">
        <is>
          <t>Alquiler local (USD/mes)</t>
        </is>
      </c>
      <c r="B7" s="10" t="n">
        <v>15</v>
      </c>
    </row>
    <row r="8">
      <c r="A8" t="inlineStr">
        <is>
          <t>Costo profesor por hora (USD)</t>
        </is>
      </c>
      <c r="B8" s="10" t="n">
        <v>3</v>
      </c>
    </row>
    <row r="9">
      <c r="A9" t="inlineStr">
        <is>
          <t>Servicios (luz, agua, etc) USD/mes</t>
        </is>
      </c>
      <c r="B9" s="10" t="n">
        <v>250</v>
      </c>
    </row>
    <row r="10">
      <c r="A10" t="inlineStr">
        <is>
          <t>Marketing USD/mes</t>
        </is>
      </c>
      <c r="B10" s="10" t="n">
        <v>5</v>
      </c>
    </row>
    <row r="11">
      <c r="A11" t="inlineStr">
        <is>
          <t>Otros gastos USD/mes</t>
        </is>
      </c>
      <c r="B11" s="10" t="n">
        <v>80</v>
      </c>
    </row>
    <row r="12">
      <c r="B12" s="10" t="n">
        <v>50</v>
      </c>
    </row>
    <row r="13">
      <c r="A13" t="inlineStr">
        <is>
          <t>GASTOS FIJOS TOTALES (Fórmula)</t>
        </is>
      </c>
      <c r="B13" s="11">
        <f>B9+B11+B12+B13</f>
        <v/>
      </c>
    </row>
    <row r="14">
      <c r="A14" t="inlineStr">
        <is>
          <t>MARGEN POR ALUMNA (Fórmula)</t>
        </is>
      </c>
      <c r="B14" s="12">
        <f>B7-B8</f>
        <v/>
      </c>
    </row>
    <row r="17">
      <c r="A17" s="3" t="inlineStr">
        <is>
          <t>ESCENARIOS</t>
        </is>
      </c>
    </row>
    <row r="18">
      <c r="A18" s="7" t="inlineStr">
        <is>
          <t>Métrica</t>
        </is>
      </c>
      <c r="B18" s="7" t="inlineStr">
        <is>
          <t>Pesimista</t>
        </is>
      </c>
      <c r="C18" s="7" t="inlineStr">
        <is>
          <t>Realista</t>
        </is>
      </c>
      <c r="D18" s="7" t="inlineStr">
        <is>
          <t>Optimista</t>
        </is>
      </c>
    </row>
    <row r="19">
      <c r="A19" s="13" t="inlineStr">
        <is>
          <t>Alumnas</t>
        </is>
      </c>
      <c r="B19" s="14" t="n">
        <v>30</v>
      </c>
      <c r="C19" s="14" t="n">
        <v>50</v>
      </c>
      <c r="D19" s="14" t="n">
        <v>80</v>
      </c>
    </row>
    <row r="20">
      <c r="A20" s="13" t="inlineStr">
        <is>
          <t>Ingreso mensual</t>
        </is>
      </c>
      <c r="B20" s="15">
        <f>B24*B7</f>
        <v/>
      </c>
      <c r="C20" s="15">
        <f>C24*B7</f>
        <v/>
      </c>
      <c r="D20" s="15">
        <f>D24*B7</f>
        <v/>
      </c>
    </row>
    <row r="21">
      <c r="A21" s="13" t="inlineStr">
        <is>
          <t>Costes variables</t>
        </is>
      </c>
      <c r="B21" s="15">
        <f>B24*B8</f>
        <v/>
      </c>
      <c r="C21" s="15">
        <f>C24*B8</f>
        <v/>
      </c>
      <c r="D21" s="15">
        <f>D24*B8</f>
        <v/>
      </c>
    </row>
    <row r="22">
      <c r="A22" s="13" t="inlineStr">
        <is>
          <t>Margen bruto</t>
        </is>
      </c>
      <c r="B22" s="15">
        <f>B25-B26</f>
        <v/>
      </c>
      <c r="C22" s="15">
        <f>C25-C26</f>
        <v/>
      </c>
      <c r="D22" s="15">
        <f>D25-D26</f>
        <v/>
      </c>
    </row>
    <row r="23">
      <c r="A23" s="13" t="inlineStr">
        <is>
          <t>Gastos fijos</t>
        </is>
      </c>
      <c r="B23" s="15">
        <f>B13</f>
        <v/>
      </c>
      <c r="C23" s="15">
        <f>B13</f>
        <v/>
      </c>
      <c r="D23" s="15">
        <f>600</f>
        <v/>
      </c>
    </row>
    <row r="24">
      <c r="A24" s="13" t="inlineStr">
        <is>
          <t>RESULTADO (PÉRDIDA/GANANCIA)</t>
        </is>
      </c>
      <c r="B24" s="15">
        <f>B27-B28</f>
        <v/>
      </c>
      <c r="C24" s="15">
        <f>C27-C28</f>
        <v/>
      </c>
      <c r="D24" s="15">
        <f>D27-D28</f>
        <v/>
      </c>
    </row>
    <row r="27">
      <c r="A27" s="3" t="inlineStr">
        <is>
          <t>PUNTO DE EQUILIBRIO</t>
        </is>
      </c>
    </row>
    <row r="28">
      <c r="A28" t="inlineStr">
        <is>
          <t>Alumnas necesarias para equilibrio</t>
        </is>
      </c>
      <c r="B28" s="16">
        <f>ROUND(B13/B14,0)</f>
        <v/>
      </c>
    </row>
  </sheetData>
  <mergeCells count="5">
    <mergeCell ref="A4:B4"/>
    <mergeCell ref="A27:D27"/>
    <mergeCell ref="A2:E2"/>
    <mergeCell ref="A1:E1"/>
    <mergeCell ref="A17:E17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BLOQUE 4: AUDITORÍA DE CAPACIDAD</t>
        </is>
      </c>
    </row>
    <row r="3">
      <c r="A3" s="7" t="inlineStr">
        <is>
          <t>Métrica</t>
        </is>
      </c>
      <c r="B3" s="7" t="inlineStr">
        <is>
          <t>Valor actual</t>
        </is>
      </c>
      <c r="C3" s="7" t="inlineStr">
        <is>
          <t>Capacidad máxima</t>
        </is>
      </c>
      <c r="D3" s="7" t="inlineStr">
        <is>
          <t>Ocupación (%)</t>
        </is>
      </c>
    </row>
    <row r="5">
      <c r="A5" s="13" t="inlineStr">
        <is>
          <t>Alumnas por clase (promedio)</t>
        </is>
      </c>
      <c r="B5" s="17" t="n"/>
    </row>
    <row r="6">
      <c r="A6" s="13" t="inlineStr">
        <is>
          <t>Clases por día</t>
        </is>
      </c>
      <c r="B6" s="17" t="n"/>
    </row>
    <row r="7">
      <c r="A7" s="13" t="inlineStr">
        <is>
          <t>Días abiertos por semana</t>
        </is>
      </c>
      <c r="B7" s="17" t="n"/>
    </row>
    <row r="8">
      <c r="A8" s="13" t="inlineStr">
        <is>
          <t>Capacidad teórica total (alumnas)</t>
        </is>
      </c>
      <c r="B8" s="18">
        <f>B5*B6*B7</f>
        <v/>
      </c>
    </row>
    <row r="9">
      <c r="A9" s="13" t="inlineStr">
        <is>
          <t>Alumnas actuales</t>
        </is>
      </c>
      <c r="B9" s="17" t="n"/>
    </row>
    <row r="10">
      <c r="A10" s="13" t="inlineStr">
        <is>
          <t>OCUPACIÓN ACTUAL (%)</t>
        </is>
      </c>
      <c r="B10" s="18">
        <f>IF(B8=0,0,B9/B8)</f>
        <v/>
      </c>
    </row>
    <row r="11">
      <c r="B11" s="19" t="n"/>
    </row>
    <row r="14">
      <c r="A14" s="3" t="inlineStr">
        <is>
          <t>UMBRALES DE OCUPACIÓN</t>
        </is>
      </c>
    </row>
    <row r="15">
      <c r="A15" t="inlineStr">
        <is>
          <t>&gt;80%</t>
        </is>
      </c>
      <c r="B15" t="inlineStr">
        <is>
          <t>Verde</t>
        </is>
      </c>
      <c r="C15" t="inlineStr">
        <is>
          <t>Considerar ampliar horarios o local</t>
        </is>
      </c>
    </row>
    <row r="16">
      <c r="A16" t="inlineStr">
        <is>
          <t>60-80%</t>
        </is>
      </c>
      <c r="B16" t="inlineStr">
        <is>
          <t>Amarillo</t>
        </is>
      </c>
      <c r="C16" t="inlineStr">
        <is>
          <t>Optimizar horarios, marketing focalizado</t>
        </is>
      </c>
    </row>
    <row r="17">
      <c r="A17" t="inlineStr">
        <is>
          <t>&lt;60%</t>
        </is>
      </c>
      <c r="B17" t="inlineStr">
        <is>
          <t>Rojo</t>
        </is>
      </c>
      <c r="C17" t="inlineStr">
        <is>
          <t>Revisar precio, producto o captación</t>
        </is>
      </c>
    </row>
  </sheetData>
  <mergeCells count="2">
    <mergeCell ref="A1:D1"/>
    <mergeCell ref="A14:D14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  <col width="35" customWidth="1" min="3" max="3"/>
  </cols>
  <sheetData>
    <row r="1">
      <c r="A1" s="1" t="inlineStr">
        <is>
          <t>BLOQUE 5: ANÁLISIS DE ABANDONO</t>
        </is>
      </c>
    </row>
    <row r="2">
      <c r="A2" s="20" t="inlineStr">
        <is>
          <t>5.1 MOTIVOS DE ABANDONO (Encuesta a madres)</t>
        </is>
      </c>
    </row>
    <row r="4">
      <c r="A4" s="7" t="inlineStr">
        <is>
          <t>Motivo</t>
        </is>
      </c>
      <c r="B4" s="7" t="inlineStr">
        <is>
          <t>% del total</t>
        </is>
      </c>
      <c r="C4" s="7" t="inlineStr">
        <is>
          <t>Acción sugerida</t>
        </is>
      </c>
    </row>
    <row r="5">
      <c r="A5" s="13" t="inlineStr">
        <is>
          <t>Precio</t>
        </is>
      </c>
      <c r="B5" s="21" t="n"/>
      <c r="C5" s="13" t="inlineStr">
        <is>
          <t>Revisar precio, crear plan de pagos</t>
        </is>
      </c>
    </row>
    <row r="6">
      <c r="A6" s="13" t="inlineStr">
        <is>
          <t>Cambio de colegio</t>
        </is>
      </c>
      <c r="B6" s="21" t="n"/>
      <c r="C6" s="13" t="inlineStr">
        <is>
          <t>Nada (factor externo)</t>
        </is>
      </c>
    </row>
    <row r="7">
      <c r="A7" s="13" t="inlineStr">
        <is>
          <t>Falta de interés de la niña</t>
        </is>
      </c>
      <c r="B7" s="21" t="n"/>
      <c r="C7" s="13" t="inlineStr">
        <is>
          <t>Revisar metodología, añadir variedad</t>
        </is>
      </c>
    </row>
    <row r="8">
      <c r="A8" s="13" t="inlineStr">
        <is>
          <t>Lesión</t>
        </is>
      </c>
      <c r="B8" s="21" t="n"/>
      <c r="C8" s="13" t="inlineStr">
        <is>
          <t>Revisar protocolo de calentamiento</t>
        </is>
      </c>
    </row>
    <row r="9">
      <c r="A9" s="13" t="inlineStr">
        <is>
          <t>Horarios incompatibles</t>
        </is>
      </c>
      <c r="B9" s="21" t="n"/>
      <c r="C9" s="13" t="inlineStr">
        <is>
          <t>PRIORIDAD #1: Abrir horarios alternativos</t>
        </is>
      </c>
    </row>
    <row r="10">
      <c r="A10" s="13" t="inlineStr">
        <is>
          <t>Cambio de ciudad</t>
        </is>
      </c>
      <c r="B10" s="21" t="n"/>
      <c r="C10" s="13" t="inlineStr">
        <is>
          <t>Nada (factor externo)</t>
        </is>
      </c>
    </row>
    <row r="11">
      <c r="A11" s="13" t="inlineStr">
        <is>
          <t>Otra actividad (fútbol, natación)</t>
        </is>
      </c>
      <c r="B11" s="21" t="n"/>
      <c r="C11" s="13" t="inlineStr">
        <is>
          <t>Analizar qué ofrecen esas actividades</t>
        </is>
      </c>
    </row>
    <row r="12">
      <c r="A12" s="13" t="inlineStr">
        <is>
          <t>Insatisfacción con la enseñanza</t>
        </is>
      </c>
      <c r="B12" s="21" t="n"/>
      <c r="C12" s="13" t="inlineStr">
        <is>
          <t>Revisar metodología</t>
        </is>
      </c>
    </row>
    <row r="13">
      <c r="A13" s="13" t="inlineStr">
        <is>
          <t>Problemas familiares/económicos</t>
        </is>
      </c>
      <c r="B13" s="21" t="n"/>
      <c r="C13" s="13" t="inlineStr">
        <is>
          <t>Ofrecer plan de emergencia</t>
        </is>
      </c>
    </row>
    <row r="14">
      <c r="A14" s="13" t="inlineStr">
        <is>
          <t>No especificado</t>
        </is>
      </c>
      <c r="B14" s="21" t="n"/>
      <c r="C14" s="13" t="inlineStr">
        <is>
          <t>Llamar personalmente a cada familia</t>
        </is>
      </c>
    </row>
    <row r="17">
      <c r="A17" s="20" t="inlineStr">
        <is>
          <t>5.2 TASA DE ABANDONO MENSUAL</t>
        </is>
      </c>
    </row>
    <row r="18">
      <c r="A18" s="7" t="inlineStr">
        <is>
          <t>Mes</t>
        </is>
      </c>
      <c r="B18" s="7" t="inlineStr">
        <is>
          <t>Alumnas inicio</t>
        </is>
      </c>
      <c r="C18" s="7" t="inlineStr">
        <is>
          <t>Alumnas abandonan</t>
        </is>
      </c>
      <c r="D18" s="7" t="inlineStr">
        <is>
          <t>Tasa (%)</t>
        </is>
      </c>
    </row>
    <row r="19">
      <c r="A19" s="13" t="inlineStr">
        <is>
          <t>Mes 1</t>
        </is>
      </c>
      <c r="B19" s="22" t="n"/>
      <c r="C19" s="22" t="n"/>
      <c r="D19" s="23">
        <f>IF(B19=0,0,C19/B19)</f>
        <v/>
      </c>
    </row>
    <row r="20">
      <c r="A20" s="13" t="inlineStr">
        <is>
          <t>Mes 2</t>
        </is>
      </c>
      <c r="B20" s="22" t="n"/>
      <c r="C20" s="22" t="n"/>
      <c r="D20" s="23">
        <f>IF(B20=0,0,C20/B20)</f>
        <v/>
      </c>
    </row>
    <row r="21">
      <c r="A21" s="13" t="inlineStr">
        <is>
          <t>Mes 3</t>
        </is>
      </c>
      <c r="B21" s="22" t="n"/>
      <c r="C21" s="22" t="n"/>
      <c r="D21" s="23">
        <f>IF(B21=0,0,C21/B21)</f>
        <v/>
      </c>
    </row>
    <row r="22">
      <c r="A22" s="13" t="inlineStr">
        <is>
          <t>Mes 4</t>
        </is>
      </c>
      <c r="B22" s="22" t="n"/>
      <c r="C22" s="22" t="n"/>
      <c r="D22" s="23">
        <f>IF(B22=0,0,C22/B22)</f>
        <v/>
      </c>
    </row>
    <row r="23">
      <c r="A23" s="13" t="inlineStr">
        <is>
          <t>Mes 5</t>
        </is>
      </c>
      <c r="B23" s="22" t="n"/>
      <c r="C23" s="22" t="n"/>
      <c r="D23" s="23">
        <f>IF(B23=0,0,C23/B23)</f>
        <v/>
      </c>
    </row>
    <row r="24">
      <c r="A24" s="13" t="inlineStr">
        <is>
          <t>Mes 6</t>
        </is>
      </c>
      <c r="B24" s="22" t="n"/>
      <c r="C24" s="22" t="n"/>
      <c r="D24" s="23">
        <f>IF(B24=0,0,C24/B24)</f>
        <v/>
      </c>
    </row>
    <row r="26">
      <c r="A26" s="24" t="inlineStr">
        <is>
          <t>⚠️ UMBRAL CRÍTICO: &gt;15% abandono mensual = producto defectuoso</t>
        </is>
      </c>
    </row>
  </sheetData>
  <mergeCells count="4">
    <mergeCell ref="A1:C1"/>
    <mergeCell ref="A26:C26"/>
    <mergeCell ref="A2:C2"/>
    <mergeCell ref="A17:C1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  <col width="25" customWidth="1" min="3" max="3"/>
  </cols>
  <sheetData>
    <row r="1">
      <c r="A1" s="1" t="inlineStr">
        <is>
          <t>BLOQUE 6: SATISFACCIÓN DEL CLIENTE</t>
        </is>
      </c>
    </row>
    <row r="3">
      <c r="A3" s="20" t="inlineStr">
        <is>
          <t>NPS (NET PROMOTER SCORE) — ENCUESTA TRIMESTRAL</t>
        </is>
      </c>
    </row>
    <row r="4">
      <c r="A4" s="7" t="inlineStr">
        <is>
          <t>Respuesta</t>
        </is>
      </c>
      <c r="B4" s="7" t="inlineStr">
        <is>
          <t>Categoría</t>
        </is>
      </c>
      <c r="C4" s="7" t="inlineStr">
        <is>
          <t>Cantidad</t>
        </is>
      </c>
    </row>
    <row r="6">
      <c r="A6" s="13" t="inlineStr">
        <is>
          <t>0-6</t>
        </is>
      </c>
      <c r="B6" s="13" t="inlineStr">
        <is>
          <t>Detractora</t>
        </is>
      </c>
      <c r="C6" s="13" t="n"/>
    </row>
    <row r="7">
      <c r="A7" s="13" t="inlineStr">
        <is>
          <t>7-8</t>
        </is>
      </c>
      <c r="B7" s="25" t="inlineStr">
        <is>
          <t>Pasiva</t>
        </is>
      </c>
      <c r="C7" s="13" t="n"/>
    </row>
    <row r="8">
      <c r="A8" s="13" t="inlineStr">
        <is>
          <t>9-10</t>
        </is>
      </c>
      <c r="B8" s="25" t="inlineStr">
        <is>
          <t>Promotora</t>
        </is>
      </c>
      <c r="C8" s="13" t="n"/>
    </row>
    <row r="9">
      <c r="B9" s="26" t="n"/>
    </row>
    <row r="10">
      <c r="A10" s="20" t="inlineStr">
        <is>
          <t>NPS = % Promotoras - % Detractoras</t>
        </is>
      </c>
      <c r="B10" s="27">
        <f>(B9/(B7+B8+B9))-(B7/(B7+B8+B9))</f>
        <v/>
      </c>
    </row>
    <row r="12">
      <c r="A12" s="24" t="inlineStr">
        <is>
          <t>⚠️ UMBRAL: NPS &gt; 50 = excelente | NPS &lt; 30 = revisar urgente</t>
        </is>
      </c>
    </row>
    <row r="15">
      <c r="A15" s="20" t="inlineStr">
        <is>
          <t>TESTIMONIOS RECOPILADOS</t>
        </is>
      </c>
    </row>
    <row r="16">
      <c r="A16" s="7" t="inlineStr">
        <is>
          <t>Fecha</t>
        </is>
      </c>
      <c r="B16" s="7" t="inlineStr">
        <is>
          <t>Testimonio (iniciales)</t>
        </is>
      </c>
      <c r="C16" s="7" t="inlineStr">
        <is>
          <t>Usado en marketing</t>
        </is>
      </c>
    </row>
    <row r="17">
      <c r="A17" s="22" t="n"/>
      <c r="B17" s="22" t="n"/>
      <c r="C17" s="22" t="n"/>
    </row>
    <row r="18">
      <c r="A18" s="22" t="n"/>
      <c r="B18" s="22" t="n"/>
      <c r="C18" s="22" t="n"/>
    </row>
    <row r="19">
      <c r="A19" s="22" t="n"/>
      <c r="B19" s="22" t="n"/>
      <c r="C19" s="22" t="n"/>
    </row>
    <row r="20">
      <c r="A20" s="22" t="n"/>
      <c r="B20" s="22" t="n"/>
      <c r="C20" s="22" t="n"/>
    </row>
    <row r="21">
      <c r="A21" s="22" t="n"/>
      <c r="B21" s="22" t="n"/>
      <c r="C21" s="22" t="n"/>
    </row>
  </sheetData>
  <mergeCells count="4">
    <mergeCell ref="A1:C1"/>
    <mergeCell ref="A3:C3"/>
    <mergeCell ref="A12:C12"/>
    <mergeCell ref="A15:C15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>
      <c r="A1" s="1" t="inlineStr">
        <is>
          <t>BLOQUE 9: ANÁLISIS DAFO</t>
        </is>
      </c>
    </row>
    <row r="3">
      <c r="A3" s="28" t="inlineStr">
        <is>
          <t>FORTALEZAS</t>
        </is>
      </c>
    </row>
    <row r="5">
      <c r="A5" s="29" t="inlineStr">
        <is>
          <t>DEBILIDADES</t>
        </is>
      </c>
    </row>
    <row r="7">
      <c r="A7" s="30" t="inlineStr">
        <is>
          <t>OPORTUNIDADES</t>
        </is>
      </c>
    </row>
    <row r="9">
      <c r="A9" s="31" t="inlineStr">
        <is>
          <t>AMENAZAS</t>
        </is>
      </c>
    </row>
  </sheetData>
  <mergeCells count="5">
    <mergeCell ref="A7:B7"/>
    <mergeCell ref="A5:B5"/>
    <mergeCell ref="A1:B1"/>
    <mergeCell ref="A9:B9"/>
    <mergeCell ref="A3:B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30" customWidth="1" min="1" max="1"/>
    <col width="25" customWidth="1" min="2" max="2"/>
    <col width="35" customWidth="1" min="3" max="3"/>
  </cols>
  <sheetData>
    <row r="1">
      <c r="A1" s="1" t="inlineStr">
        <is>
          <t>BLOQUE 11: CANALES DE ADQUISICIÓN</t>
        </is>
      </c>
    </row>
    <row r="3">
      <c r="A3" s="7" t="inlineStr">
        <is>
          <t>Canal</t>
        </is>
      </c>
      <c r="B3" s="7" t="inlineStr">
        <is>
          <t>Fuerza en Mérida</t>
        </is>
      </c>
      <c r="C3" s="7" t="inlineStr">
        <is>
          <t>¿Cómo medir?</t>
        </is>
      </c>
    </row>
    <row r="4">
      <c r="A4" s="13" t="inlineStr">
        <is>
          <t>Recomendación madre-madre</t>
        </is>
      </c>
      <c r="B4" s="13" t="inlineStr">
        <is>
          <t>🔴 ALTA</t>
        </is>
      </c>
      <c r="C4" s="13" t="inlineStr">
        <is>
          <t>Encuesta: ¿Cómo se enteró?</t>
        </is>
      </c>
    </row>
    <row r="5">
      <c r="A5" s="13" t="inlineStr">
        <is>
          <t>Colegios</t>
        </is>
      </c>
      <c r="B5" s="13" t="inlineStr">
        <is>
          <t>🔴 ALTA</t>
        </is>
      </c>
      <c r="C5" s="13" t="inlineStr">
        <is>
          <t>¿Alianzas activas? ¿Panfletos?</t>
        </is>
      </c>
    </row>
    <row r="6">
      <c r="A6" s="13" t="inlineStr">
        <is>
          <t>Grupos WhatsApp de padres</t>
        </is>
      </c>
      <c r="B6" s="13" t="inlineStr">
        <is>
          <t>🔴 ALTA</t>
        </is>
      </c>
      <c r="C6" s="13" t="inlineStr">
        <is>
          <t>¿Aparece en conversaciones?</t>
        </is>
      </c>
    </row>
    <row r="7">
      <c r="A7" s="13" t="inlineStr">
        <is>
          <t>Instagram local</t>
        </is>
      </c>
      <c r="B7" s="13" t="inlineStr">
        <is>
          <t>🟡 MEDIA</t>
        </is>
      </c>
      <c r="C7" s="13" t="inlineStr">
        <is>
          <t>Seguidores, interacción, DMs</t>
        </is>
      </c>
    </row>
    <row r="8">
      <c r="A8" s="13" t="inlineStr">
        <is>
          <t>Eventos gratuitos / muestras</t>
        </is>
      </c>
      <c r="B8" s="13" t="inlineStr">
        <is>
          <t>🟡 MEDIA</t>
        </is>
      </c>
      <c r="C8" s="13" t="inlineStr">
        <is>
          <t>Asistencia, conversión</t>
        </is>
      </c>
    </row>
    <row r="9">
      <c r="A9" s="13" t="inlineStr">
        <is>
          <t>Meta Ads pagadas</t>
        </is>
      </c>
      <c r="B9" s="13" t="inlineStr">
        <is>
          <t>🟢 BAJA</t>
        </is>
      </c>
      <c r="C9" s="13" t="inlineStr">
        <is>
          <t>CAC probablemente &gt; LTV</t>
        </is>
      </c>
    </row>
    <row r="10">
      <c r="A10" s="13" t="inlineStr">
        <is>
          <t>Pasear por el local</t>
        </is>
      </c>
      <c r="B10" s="13" t="inlineStr">
        <is>
          <t>🟢 BAJA-MEDIA</t>
        </is>
      </c>
      <c r="C10" s="13" t="inlineStr">
        <is>
          <t>¿Cuántos entran por el letrero?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cols>
    <col width="35" customWidth="1" min="1" max="1"/>
    <col width="45" customWidth="1" min="2" max="2"/>
    <col width="20" customWidth="1" min="3" max="3"/>
  </cols>
  <sheetData>
    <row r="1">
      <c r="A1" s="1" t="inlineStr">
        <is>
          <t>BLOQUE 12: EXPERIMENTOS DE VALIDACIÓN</t>
        </is>
      </c>
    </row>
    <row r="3">
      <c r="A3" s="13" t="inlineStr">
        <is>
          <t>Exp 1: Observación competencia</t>
        </is>
      </c>
      <c r="B3" s="13" t="inlineStr">
        <is>
          <t>0 USD, 3-4 días</t>
        </is>
      </c>
      <c r="C3" s="13" t="inlineStr">
        <is>
          <t>Contar entradas en Nueva Danza y Agbara</t>
        </is>
      </c>
    </row>
    <row r="4">
      <c r="A4" s="13" t="inlineStr">
        <is>
          <t>Exp 2: Entrevistas interceptación</t>
        </is>
      </c>
      <c r="B4" s="13" t="inlineStr">
        <is>
          <t>0 USD, 3-5 días</t>
        </is>
      </c>
      <c r="C4" s="13" t="inlineStr">
        <is>
          <t>Objetivo: 20+ contactos WhatsApp</t>
        </is>
      </c>
    </row>
    <row r="5">
      <c r="A5" s="13" t="inlineStr">
        <is>
          <t>Exp 3: Test de precio</t>
        </is>
      </c>
      <c r="B5" s="13" t="inlineStr">
        <is>
          <t>Interno</t>
        </is>
      </c>
      <c r="C5" s="13" t="inlineStr">
        <is>
          <t>Subir 10-15% a nuevas. ¿Baja conversión?</t>
        </is>
      </c>
    </row>
    <row r="6">
      <c r="A6" s="13" t="inlineStr">
        <is>
          <t>Exp 4: Oferta premium (Danza Chic Elite)</t>
        </is>
      </c>
      <c r="B6" s="13" t="inlineStr">
        <is>
          <t>0 USD</t>
        </is>
      </c>
      <c r="C6" s="13" t="inlineStr">
        <is>
          <t>Medir % familias que pagan upgrade</t>
        </is>
      </c>
    </row>
    <row r="7">
      <c r="A7" s="13" t="inlineStr">
        <is>
          <t>Exp 5: Sistema de referidos</t>
        </is>
      </c>
      <c r="B7" s="13" t="inlineStr">
        <is>
          <t>Costo bajo</t>
        </is>
      </c>
      <c r="C7" s="13" t="inlineStr">
        <is>
          <t>1 semana gratis por referida</t>
        </is>
      </c>
    </row>
    <row r="8">
      <c r="A8" s="13" t="inlineStr">
        <is>
          <t>Exp 6: Pop-up (MVP)</t>
        </is>
      </c>
      <c r="B8" s="13" t="inlineStr">
        <is>
          <t>100-300 USD</t>
        </is>
      </c>
      <c r="C8" s="13" t="inlineStr">
        <is>
          <t>Alquilar sala 8 semanas. Objetivo: 30 alumnas</t>
        </is>
      </c>
    </row>
  </sheetData>
  <mergeCells count="1">
    <mergeCell ref="A1:C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9"/>
  <sheetViews>
    <sheetView workbookViewId="0">
      <selection activeCell="A1" sqref="A1"/>
    </sheetView>
  </sheetViews>
  <sheetFormatPr baseColWidth="8" defaultRowHeight="15"/>
  <cols>
    <col width="50" customWidth="1" min="1" max="1"/>
  </cols>
  <sheetData>
    <row r="1">
      <c r="A1" s="1" t="inlineStr">
        <is>
          <t>BLOQUE 13: ÁRBOL DE DECISIÓN</t>
        </is>
      </c>
    </row>
    <row r="3">
      <c r="A3" s="32" t="inlineStr">
        <is>
          <t>¿Datos de Bloque 0 proporcionados?</t>
        </is>
      </c>
    </row>
    <row r="4">
      <c r="A4" s="33" t="inlineStr">
        <is>
          <t xml:space="preserve">  NO → Completar primero. Sin datos no hay estrategia.</t>
        </is>
      </c>
    </row>
    <row r="5">
      <c r="A5" s="33" t="inlineStr">
        <is>
          <t xml:space="preserve">  SÍ → ¿El negocio es rentable? (Margen &gt; 0, ocupación &gt; 60%)</t>
        </is>
      </c>
    </row>
    <row r="6">
      <c r="A6" s="33" t="inlineStr">
        <is>
          <t xml:space="preserve">    NO → Revisar antes de crecer</t>
        </is>
      </c>
    </row>
    <row r="7">
      <c r="A7" s="33" t="inlineStr">
        <is>
          <t xml:space="preserve">      - ¿Problema es precio? → Test de precio</t>
        </is>
      </c>
    </row>
    <row r="8">
      <c r="A8" s="33" t="inlineStr">
        <is>
          <t xml:space="preserve">      - ¿Problema es coste? → Reducir gastos, negociar alquiler</t>
        </is>
      </c>
    </row>
    <row r="9">
      <c r="A9" s="33" t="inlineStr">
        <is>
          <t xml:space="preserve">      - ¿Problema es producto? → Encuesta abandono + satisfacción</t>
        </is>
      </c>
    </row>
    <row r="10">
      <c r="A10" s="33" t="inlineStr">
        <is>
          <t xml:space="preserve">      - ¿Problema es captación? → Revisar canales + experimentos</t>
        </is>
      </c>
    </row>
    <row r="11">
      <c r="A11" s="33" t="inlineStr">
        <is>
          <t xml:space="preserve">    SÍ → ¿Demanda &gt; Capacidad? (Ocupación &gt; 80%)</t>
        </is>
      </c>
    </row>
    <row r="12">
      <c r="A12" s="33" t="inlineStr">
        <is>
          <t xml:space="preserve">      NO → Optimizar antes de expandir</t>
        </is>
      </c>
    </row>
    <row r="13">
      <c r="A13" s="33" t="inlineStr">
        <is>
          <t xml:space="preserve">        - Subir precio a nuevas</t>
        </is>
      </c>
    </row>
    <row r="14">
      <c r="A14" s="33" t="inlineStr">
        <is>
          <t xml:space="preserve">        - Mejorar retención</t>
        </is>
      </c>
    </row>
    <row r="15">
      <c r="A15" s="33" t="inlineStr">
        <is>
          <t xml:space="preserve">        - Aumentar referidos</t>
        </is>
      </c>
    </row>
    <row r="16">
      <c r="A16" s="33" t="inlineStr">
        <is>
          <t xml:space="preserve">      SÍ → Evaluar crecimiento</t>
        </is>
      </c>
    </row>
    <row r="17">
      <c r="A17" s="33" t="inlineStr">
        <is>
          <t xml:space="preserve">        - ¿Dependencia &gt; 75%? → Documentar procesos, contratar profesor</t>
        </is>
      </c>
    </row>
    <row r="18">
      <c r="A18" s="33" t="inlineStr">
        <is>
          <t xml:space="preserve">        - ¿Margen &gt; 25%? → Invertir en marketing y local</t>
        </is>
      </c>
    </row>
    <row r="19">
      <c r="A19" s="33" t="inlineStr">
        <is>
          <t xml:space="preserve">        - ¿NPS &gt; 50? → Escalar: más horarios, profesores, local</t>
        </is>
      </c>
    </row>
  </sheetData>
  <mergeCells count="1">
    <mergeCell ref="A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4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BLOQUE 10: CUADRO DE MANDO MENSUAL</t>
        </is>
      </c>
    </row>
    <row r="2">
      <c r="A2" s="6" t="inlineStr">
        <is>
          <t>⚠️ CORAZÓN DEL DOCUMENTO VIVO — Completar cada primer lunes del mes</t>
        </is>
      </c>
    </row>
    <row r="4">
      <c r="A4" s="7" t="inlineStr">
        <is>
          <t>Indicador</t>
        </is>
      </c>
      <c r="B4" s="7" t="inlineStr">
        <is>
          <t>Verde</t>
        </is>
      </c>
      <c r="C4" s="7" t="inlineStr">
        <is>
          <t>Amarillo</t>
        </is>
      </c>
      <c r="D4" s="7" t="inlineStr">
        <is>
          <t>Rojo</t>
        </is>
      </c>
      <c r="E4" s="7" t="inlineStr">
        <is>
          <t>Mes actual</t>
        </is>
      </c>
      <c r="F4" s="7" t="inlineStr">
        <is>
          <t>Tendencia</t>
        </is>
      </c>
    </row>
    <row r="5">
      <c r="A5" s="8" t="inlineStr">
        <is>
          <t>Ocupación (%)</t>
        </is>
      </c>
      <c r="B5" s="8" t="inlineStr">
        <is>
          <t>&gt;80%</t>
        </is>
      </c>
      <c r="C5" s="8" t="inlineStr">
        <is>
          <t>60-80%</t>
        </is>
      </c>
      <c r="D5" s="8" t="inlineStr">
        <is>
          <t>&lt;60%</t>
        </is>
      </c>
      <c r="E5" s="9" t="n"/>
      <c r="F5" s="9" t="n"/>
    </row>
    <row r="6">
      <c r="A6" s="8" t="inlineStr">
        <is>
          <t>Retención mensual (%)</t>
        </is>
      </c>
      <c r="B6" s="8" t="inlineStr">
        <is>
          <t>&gt;85%</t>
        </is>
      </c>
      <c r="C6" s="8" t="inlineStr">
        <is>
          <t>70-85%</t>
        </is>
      </c>
      <c r="D6" s="8" t="inlineStr">
        <is>
          <t>&lt;70%</t>
        </is>
      </c>
      <c r="E6" s="9" t="n"/>
      <c r="F6" s="9" t="n"/>
    </row>
    <row r="7">
      <c r="A7" s="8" t="inlineStr">
        <is>
          <t>Referidos (% nuevas alumnas)</t>
        </is>
      </c>
      <c r="B7" s="8" t="inlineStr">
        <is>
          <t>&gt;40%</t>
        </is>
      </c>
      <c r="C7" s="8" t="inlineStr">
        <is>
          <t>20-40%</t>
        </is>
      </c>
      <c r="D7" s="8" t="inlineStr">
        <is>
          <t>&lt;20%</t>
        </is>
      </c>
      <c r="E7" s="9" t="n"/>
      <c r="F7" s="9" t="n"/>
    </row>
    <row r="8">
      <c r="A8" s="8" t="inlineStr">
        <is>
          <t>Margen bruto (%)</t>
        </is>
      </c>
      <c r="B8" s="8" t="inlineStr">
        <is>
          <t>&gt;25%</t>
        </is>
      </c>
      <c r="C8" s="8" t="inlineStr">
        <is>
          <t>10-25%</t>
        </is>
      </c>
      <c r="D8" s="8" t="inlineStr">
        <is>
          <t>&lt;10%</t>
        </is>
      </c>
      <c r="E8" s="9" t="n"/>
      <c r="F8" s="9" t="n"/>
    </row>
    <row r="9">
      <c r="A9" s="8" t="inlineStr">
        <is>
          <t>Dependencia fundadora (%)</t>
        </is>
      </c>
      <c r="B9" s="8" t="inlineStr">
        <is>
          <t>&lt;50%</t>
        </is>
      </c>
      <c r="C9" s="8" t="inlineStr">
        <is>
          <t>50-75%</t>
        </is>
      </c>
      <c r="D9" s="8" t="inlineStr">
        <is>
          <t>&gt;75%</t>
        </is>
      </c>
      <c r="E9" s="9" t="n"/>
      <c r="F9" s="9" t="n"/>
    </row>
    <row r="10">
      <c r="A10" s="8" t="inlineStr">
        <is>
          <t>NPS</t>
        </is>
      </c>
      <c r="B10" s="8" t="inlineStr">
        <is>
          <t>&gt;50</t>
        </is>
      </c>
      <c r="C10" s="8" t="inlineStr">
        <is>
          <t>30-50</t>
        </is>
      </c>
      <c r="D10" s="8" t="inlineStr">
        <is>
          <t>&lt;30</t>
        </is>
      </c>
      <c r="E10" s="9" t="n"/>
      <c r="F10" s="9" t="n"/>
    </row>
    <row r="11">
      <c r="A11" s="8" t="inlineStr">
        <is>
          <t>Tasa abandono mensual (%)</t>
        </is>
      </c>
      <c r="B11" s="8" t="inlineStr">
        <is>
          <t>&lt;10%</t>
        </is>
      </c>
      <c r="C11" s="8" t="inlineStr">
        <is>
          <t>10-15%</t>
        </is>
      </c>
      <c r="D11" s="8" t="inlineStr">
        <is>
          <t>&gt;15%</t>
        </is>
      </c>
      <c r="E11" s="9" t="n"/>
      <c r="F11" s="9" t="n"/>
    </row>
    <row r="12">
      <c r="A12" s="8" t="inlineStr">
        <is>
          <t>CAC (USD)</t>
        </is>
      </c>
      <c r="B12" s="8" t="inlineStr">
        <is>
          <t>&lt;10</t>
        </is>
      </c>
      <c r="C12" s="8" t="inlineStr">
        <is>
          <t>10-15</t>
        </is>
      </c>
      <c r="D12" s="8" t="inlineStr">
        <is>
          <t>&gt;15</t>
        </is>
      </c>
      <c r="E12" s="9" t="n"/>
      <c r="F12" s="9" t="n"/>
    </row>
    <row r="13">
      <c r="A13" s="8" t="inlineStr">
        <is>
          <t>LTV/CAC ratio</t>
        </is>
      </c>
      <c r="B13" s="8" t="inlineStr">
        <is>
          <t>&gt;3</t>
        </is>
      </c>
      <c r="C13" s="8" t="inlineStr">
        <is>
          <t>2-3</t>
        </is>
      </c>
      <c r="D13" s="8" t="inlineStr">
        <is>
          <t>&lt;2</t>
        </is>
      </c>
      <c r="E13" s="9" t="n"/>
      <c r="F13" s="9" t="n"/>
    </row>
    <row r="14">
      <c r="A14" s="8" t="inlineStr">
        <is>
          <t>Punto equilibrio vs. alumnas</t>
        </is>
      </c>
      <c r="B14" s="8" t="inlineStr">
        <is>
          <t>Alumnas &gt; PE+20%</t>
        </is>
      </c>
      <c r="C14" s="8" t="inlineStr">
        <is>
          <t>Alumnas = PE±20%</t>
        </is>
      </c>
      <c r="D14" s="8" t="inlineStr">
        <is>
          <t>Alumnas &lt; PE</t>
        </is>
      </c>
      <c r="E14" s="9" t="n"/>
      <c r="F14" s="9" t="n"/>
    </row>
  </sheetData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2026-07-24T08:28:53Z</dcterms:created>
  <dcterms:modified xsi:type="dcterms:W3CDTF">2026-07-24T08:28:53Z</dcterms:modified>
</cp:coreProperties>
</file>