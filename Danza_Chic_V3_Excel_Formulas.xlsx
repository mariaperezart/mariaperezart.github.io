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Estado Resultados" sheetId="2" state="visible" r:id="rId2"/>
    <sheet name="Embudo Comercial" sheetId="3" state="visible" r:id="rId3"/>
    <sheet name="Análisis Cohortes" sheetId="4" state="visible" r:id="rId4"/>
    <sheet name="Calendario Anual" sheetId="5" state="visible" r:id="rId5"/>
    <sheet name="Riesgos Operativos" sheetId="6" state="visible" r:id="rId6"/>
    <sheet name="Ventaja Competitiva" sheetId="7" state="visible" r:id="rId7"/>
    <sheet name="Datos Internos" sheetId="8" state="visible" r:id="rId8"/>
    <sheet name="Modelo Financiero" sheetId="9" state="visible" r:id="rId9"/>
    <sheet name="Auditoría Capacidad" sheetId="10" state="visible" r:id="rId10"/>
    <sheet name="Análisis Abandono" sheetId="11" state="visible" r:id="rId11"/>
    <sheet name="Satisfacción NPS" sheetId="12" state="visible" r:id="rId12"/>
    <sheet name="DAFO" sheetId="13" state="visible" r:id="rId13"/>
    <sheet name="Canales" sheetId="14" state="visible" r:id="rId14"/>
    <sheet name="Experimentos" sheetId="15" state="visible" r:id="rId15"/>
    <sheet name="Árbol Decisión" sheetId="16" state="visible" r:id="rId16"/>
    <sheet name="Cuadro Mand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color rgb="00FFFFFF"/>
      <sz val="12"/>
    </font>
    <font>
      <name val="Arial"/>
      <color rgb="000070C0"/>
      <sz val="10"/>
      <u val="single"/>
    </font>
    <font>
      <name val="Arial"/>
      <sz val="10"/>
    </font>
    <font>
      <name val="Arial"/>
      <i val="1"/>
      <color rgb="00FF0000"/>
      <sz val="9"/>
    </font>
    <font>
      <name val="Arial"/>
      <color rgb="000070C0"/>
      <sz val="10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FF0000"/>
      <sz val="10"/>
    </font>
    <font>
      <name val="Arial"/>
      <b val="1"/>
      <color rgb="00FFFFFF"/>
      <sz val="11"/>
    </font>
    <font>
      <name val="Courier New"/>
      <sz val="9"/>
    </font>
    <font>
      <name val="Arial"/>
      <i val="1"/>
      <sz val="9"/>
    </font>
    <font>
      <name val="Arial"/>
      <b val="1"/>
      <sz val="10"/>
    </font>
    <font>
      <name val="Arial"/>
      <b val="1"/>
      <color rgb="00008000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FFC000"/>
        <bgColor rgb="00FFC000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164" fontId="7" fillId="3" borderId="0" pivotButton="0" quotePrefix="0" xfId="0"/>
    <xf numFmtId="164" fontId="8" fillId="3" borderId="0" pivotButton="0" quotePrefix="0" xfId="0"/>
    <xf numFmtId="164" fontId="8" fillId="0" borderId="0" pivotButton="0" quotePrefix="0" xfId="0"/>
    <xf numFmtId="0" fontId="0" fillId="0" borderId="1" pivotButton="0" quotePrefix="0" xfId="0"/>
    <xf numFmtId="164" fontId="7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" fontId="8" fillId="0" borderId="0" pivotButton="0" quotePrefix="0" xfId="0"/>
    <xf numFmtId="49" fontId="7" fillId="3" borderId="1" pivotButton="0" quotePrefix="0" xfId="0"/>
    <xf numFmtId="1" fontId="8" fillId="0" borderId="1" pivotButton="0" quotePrefix="0" xfId="0"/>
    <xf numFmtId="165" fontId="0" fillId="0" borderId="0" pivotButton="0" quotePrefix="0" xfId="0"/>
    <xf numFmtId="0" fontId="9" fillId="0" borderId="0" pivotButton="0" quotePrefix="0" xfId="0"/>
    <xf numFmtId="165" fontId="7" fillId="3" borderId="1" pivotButton="0" quotePrefix="0" xfId="0"/>
    <xf numFmtId="0" fontId="0" fillId="3" borderId="1" pivotButton="0" quotePrefix="0" xfId="0"/>
    <xf numFmtId="165" fontId="8" fillId="0" borderId="1" pivotButton="0" quotePrefix="0" xfId="0"/>
    <xf numFmtId="0" fontId="10" fillId="0" borderId="0" pivotButton="0" quotePrefix="0" xfId="0"/>
    <xf numFmtId="0" fontId="7" fillId="3" borderId="1" pivotButton="0" quotePrefix="0" xfId="0"/>
    <xf numFmtId="0" fontId="7" fillId="3" borderId="0" pivotButton="0" quotePrefix="0" xfId="0"/>
    <xf numFmtId="165" fontId="8" fillId="4" borderId="0" pivotButton="0" quotePrefix="0" xfId="0"/>
    <xf numFmtId="0" fontId="11" fillId="5" borderId="0" pivotButton="0" quotePrefix="0" xfId="0"/>
    <xf numFmtId="0" fontId="11" fillId="6" borderId="0" pivotButton="0" quotePrefix="0" xfId="0"/>
    <xf numFmtId="0" fontId="11" fillId="7" borderId="0" pivotButton="0" quotePrefix="0" xfId="0"/>
    <xf numFmtId="0" fontId="11" fillId="8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0" fillId="4" borderId="1" pivotButton="0" quotePrefix="0" xfId="0"/>
    <xf numFmtId="0" fontId="0" fillId="9" borderId="1" pivotButton="0" quotePrefix="0" xfId="0"/>
    <xf numFmtId="0" fontId="15" fillId="0" borderId="0" pivotButton="0" quotePrefix="0" xfId="0"/>
    <xf numFmtId="164" fontId="8" fillId="10" borderId="0" pivotButton="0" quotePrefix="0" xfId="0"/>
    <xf numFmtId="0" fontId="0" fillId="3" borderId="0" pivotButton="0" quotePrefix="0" xfId="0"/>
    <xf numFmtId="164" fontId="8" fillId="11" borderId="0" pivotButton="0" quotePrefix="0" xfId="0"/>
    <xf numFmtId="0" fontId="8" fillId="0" borderId="1" pivotButton="0" quotePrefix="0" xfId="0"/>
    <xf numFmtId="1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DANZA CHIC V3.0 — DOCUMENTO VIVO DE GESTIÓN</t>
        </is>
      </c>
    </row>
    <row r="2">
      <c r="A2" s="2" t="inlineStr">
        <is>
          <t>Mérida, Venezuela | 24 de julio de 2026</t>
        </is>
      </c>
    </row>
    <row r="4">
      <c r="A4" s="3" t="inlineStr">
        <is>
          <t>NAVEGACIÓN POR HOJAS</t>
        </is>
      </c>
    </row>
    <row r="5">
      <c r="A5" s="4" t="inlineStr">
        <is>
          <t>Datos Internos</t>
        </is>
      </c>
      <c r="B5" s="5" t="inlineStr">
        <is>
          <t>Bloque 0: Datos obligatorios</t>
        </is>
      </c>
    </row>
    <row r="6">
      <c r="A6" s="4" t="inlineStr">
        <is>
          <t>Modelo Financiero</t>
        </is>
      </c>
      <c r="B6" s="5" t="inlineStr">
        <is>
          <t>Bloque 3: 3 escenarios con fórmulas</t>
        </is>
      </c>
    </row>
    <row r="7">
      <c r="A7" s="4" t="inlineStr">
        <is>
          <t>Auditoría Capacidad</t>
        </is>
      </c>
      <c r="B7" s="5" t="inlineStr">
        <is>
          <t>Bloque 4: Ocupación y capacidad</t>
        </is>
      </c>
    </row>
    <row r="8">
      <c r="A8" s="4" t="inlineStr">
        <is>
          <t>Análisis Abandono</t>
        </is>
      </c>
      <c r="B8" s="5" t="inlineStr">
        <is>
          <t>Bloque 5: Motivos de abandono</t>
        </is>
      </c>
    </row>
    <row r="9">
      <c r="A9" s="4" t="inlineStr">
        <is>
          <t>Satisfacción NPS</t>
        </is>
      </c>
      <c r="B9" s="5" t="inlineStr">
        <is>
          <t>Bloque 6: Encuesta y NPS</t>
        </is>
      </c>
    </row>
    <row r="10">
      <c r="A10" s="4" t="inlineStr">
        <is>
          <t>DAFO</t>
        </is>
      </c>
      <c r="B10" s="5" t="inlineStr">
        <is>
          <t>Bloque 9: Matriz DAFO</t>
        </is>
      </c>
    </row>
    <row r="11">
      <c r="A11" s="4" t="inlineStr">
        <is>
          <t>Canales</t>
        </is>
      </c>
      <c r="B11" s="5" t="inlineStr">
        <is>
          <t>Bloque 11: Canales de adquisición</t>
        </is>
      </c>
    </row>
    <row r="12">
      <c r="A12" s="4" t="inlineStr">
        <is>
          <t>Experimentos</t>
        </is>
      </c>
      <c r="B12" s="5" t="inlineStr">
        <is>
          <t>Bloque 12: Plan de validación</t>
        </is>
      </c>
    </row>
    <row r="13">
      <c r="A13" s="4" t="inlineStr">
        <is>
          <t>Árbol Decisión</t>
        </is>
      </c>
      <c r="B13" s="5" t="inlineStr">
        <is>
          <t>Bloque 13: Lógica de decisión</t>
        </is>
      </c>
    </row>
    <row r="14">
      <c r="A14" s="4" t="inlineStr">
        <is>
          <t>Cuadro Mando</t>
        </is>
      </c>
      <c r="B14" s="5" t="inlineStr">
        <is>
          <t>Bloque 10: KPIs mensuales (corazón del documento)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ESTADO DE RESULTADOS MENSUAL</t>
        </is>
      </c>
    </row>
    <row r="2">
      <c r="A2" s="34" t="inlineStr">
        <is>
          <t>Registrar los números reales cada mes</t>
        </is>
      </c>
    </row>
    <row r="4">
      <c r="A4" s="7" t="inlineStr">
        <is>
          <t>Concepto</t>
        </is>
      </c>
      <c r="B4" s="7" t="inlineStr">
        <is>
          <t>Mes 1</t>
        </is>
      </c>
      <c r="C4" s="7" t="inlineStr">
        <is>
          <t>Mes 2</t>
        </is>
      </c>
      <c r="D4" s="7" t="inlineStr">
        <is>
          <t>Mes 3</t>
        </is>
      </c>
      <c r="E4" s="7" t="inlineStr">
        <is>
          <t>Mes 4</t>
        </is>
      </c>
      <c r="F4" s="7" t="inlineStr">
        <is>
          <t>Promedio</t>
        </is>
      </c>
    </row>
    <row r="5">
      <c r="A5" s="20" t="inlineStr">
        <is>
          <t>INGRESOS</t>
        </is>
      </c>
    </row>
    <row r="6">
      <c r="A6" t="inlineStr">
        <is>
          <t>Matrícula (alumnas × precio)</t>
        </is>
      </c>
      <c r="B6" s="13" t="n"/>
      <c r="C6" s="13" t="n"/>
      <c r="D6" s="13" t="n"/>
      <c r="E6" s="13" t="n"/>
      <c r="F6" s="13" t="n"/>
    </row>
    <row r="7">
      <c r="A7" t="inlineStr">
        <is>
          <t>Otros ingresos (eventos, privadas)</t>
        </is>
      </c>
      <c r="B7" s="13" t="n"/>
      <c r="C7" s="13" t="n"/>
      <c r="D7" s="13" t="n"/>
      <c r="E7" s="13" t="n"/>
      <c r="F7" s="13" t="n"/>
    </row>
    <row r="8">
      <c r="A8" s="35" t="inlineStr">
        <is>
          <t>TOTAL INGRESOS</t>
        </is>
      </c>
      <c r="B8" s="36" t="n"/>
      <c r="C8" s="36" t="n"/>
      <c r="D8" s="36" t="n"/>
      <c r="E8" s="36" t="n"/>
      <c r="F8" s="36" t="n"/>
    </row>
    <row r="10">
      <c r="A10" s="20" t="inlineStr">
        <is>
          <t>GASTOS VARIABLES</t>
        </is>
      </c>
    </row>
    <row r="11">
      <c r="A11" t="inlineStr">
        <is>
          <t>Uniformes y material</t>
        </is>
      </c>
      <c r="B11" s="22" t="n"/>
      <c r="C11" s="22" t="n"/>
      <c r="D11" s="22" t="n"/>
      <c r="E11" s="22" t="n"/>
      <c r="F11" s="22" t="n"/>
    </row>
    <row r="12">
      <c r="A12" t="inlineStr">
        <is>
          <t>Servicios extra (agua, electricidad)</t>
        </is>
      </c>
      <c r="B12" s="22" t="n"/>
      <c r="C12" s="22" t="n"/>
      <c r="D12" s="22" t="n"/>
      <c r="E12" s="22" t="n"/>
      <c r="F12" s="22" t="n"/>
    </row>
    <row r="13">
      <c r="A13" t="inlineStr">
        <is>
          <t>Comisiones o descuentos</t>
        </is>
      </c>
      <c r="B13" s="22" t="n"/>
      <c r="C13" s="22" t="n"/>
      <c r="D13" s="22" t="n"/>
      <c r="E13" s="22" t="n"/>
      <c r="F13" s="22" t="n"/>
    </row>
    <row r="14">
      <c r="A14" s="35" t="inlineStr">
        <is>
          <t>TOTAL GASTOS VARIABLES</t>
        </is>
      </c>
      <c r="B14" s="37" t="n"/>
      <c r="C14" s="37" t="n"/>
      <c r="D14" s="37" t="n"/>
      <c r="E14" s="37" t="n"/>
      <c r="F14" s="37" t="n"/>
    </row>
    <row r="16">
      <c r="A16" s="38" t="inlineStr">
        <is>
          <t>MARGEN BRUTO (Ingresos - Gastos variables)</t>
        </is>
      </c>
      <c r="B16" s="12">
        <f>B9-B13</f>
        <v/>
      </c>
      <c r="C16" s="12">
        <f>C9-C13</f>
        <v/>
      </c>
      <c r="D16" s="12">
        <f>D9-D13</f>
        <v/>
      </c>
      <c r="E16" s="12">
        <f>E9-E13</f>
        <v/>
      </c>
    </row>
    <row r="18">
      <c r="A18" s="20" t="inlineStr">
        <is>
          <t>GASTOS FIJOS</t>
        </is>
      </c>
    </row>
    <row r="19">
      <c r="A19" t="inlineStr">
        <is>
          <t>Alquiler local</t>
        </is>
      </c>
      <c r="B19" s="22" t="n"/>
      <c r="C19" s="22" t="n"/>
      <c r="D19" s="22" t="n"/>
      <c r="E19" s="22" t="n"/>
      <c r="F19" s="22" t="n"/>
    </row>
    <row r="20">
      <c r="A20" t="inlineStr">
        <is>
          <t>Profesor (si contratado)</t>
        </is>
      </c>
      <c r="B20" s="22" t="n"/>
      <c r="C20" s="22" t="n"/>
      <c r="D20" s="22" t="n"/>
      <c r="E20" s="22" t="n"/>
      <c r="F20" s="22" t="n"/>
    </row>
    <row r="21">
      <c r="A21" t="inlineStr">
        <is>
          <t>Marketing</t>
        </is>
      </c>
      <c r="B21" s="22" t="n"/>
      <c r="C21" s="22" t="n"/>
      <c r="D21" s="22" t="n"/>
      <c r="E21" s="22" t="n"/>
      <c r="F21" s="22" t="n"/>
    </row>
    <row r="22">
      <c r="A22" t="inlineStr">
        <is>
          <t>Servicios (teléfono, internet)</t>
        </is>
      </c>
      <c r="B22" s="22" t="n"/>
      <c r="C22" s="22" t="n"/>
      <c r="D22" s="22" t="n"/>
      <c r="E22" s="22" t="n"/>
      <c r="F22" s="22" t="n"/>
    </row>
    <row r="23">
      <c r="A23" t="inlineStr">
        <is>
          <t>Seguros</t>
        </is>
      </c>
      <c r="B23" s="22" t="n"/>
      <c r="C23" s="22" t="n"/>
      <c r="D23" s="22" t="n"/>
      <c r="E23" s="22" t="n"/>
      <c r="F23" s="22" t="n"/>
    </row>
    <row r="24">
      <c r="A24" s="35" t="inlineStr">
        <is>
          <t>TOTAL GASTOS FIJOS</t>
        </is>
      </c>
      <c r="B24" s="37" t="n"/>
      <c r="C24" s="37" t="n"/>
      <c r="D24" s="37" t="n"/>
      <c r="E24" s="37" t="n"/>
      <c r="F24" s="37" t="n"/>
    </row>
    <row r="26">
      <c r="A26" s="20" t="inlineStr">
        <is>
          <t>RESULTADO OPERATIVO (MARGEN BRUTO - GASTOS FIJOS)</t>
        </is>
      </c>
      <c r="B26" s="39">
        <f>B14-B24</f>
        <v/>
      </c>
      <c r="C26" s="39">
        <f>C14-C24</f>
        <v/>
      </c>
      <c r="D26" s="39">
        <f>D14-D24</f>
        <v/>
      </c>
      <c r="E26" s="39">
        <f>E14-E24</f>
        <v/>
      </c>
    </row>
    <row r="28">
      <c r="A28" s="2" t="inlineStr">
        <is>
          <t>FLUJO DE CAJA (Simplificado)</t>
        </is>
      </c>
    </row>
    <row r="29">
      <c r="A29" s="5" t="inlineStr">
        <is>
          <t>Saldo anterior</t>
        </is>
      </c>
      <c r="B29" s="40" t="n"/>
      <c r="C29" s="40" t="n"/>
      <c r="D29" s="40" t="n"/>
      <c r="E29" s="40" t="n"/>
    </row>
    <row r="30">
      <c r="A30" t="inlineStr">
        <is>
          <t>+ Ingresos del mes</t>
        </is>
      </c>
      <c r="B30" s="12">
        <f>B9</f>
        <v/>
      </c>
      <c r="C30" s="12">
        <f>C9</f>
        <v/>
      </c>
      <c r="D30" s="12">
        <f>D9</f>
        <v/>
      </c>
      <c r="E30" s="12">
        <f>E9</f>
        <v/>
      </c>
    </row>
    <row r="31">
      <c r="A31" t="inlineStr">
        <is>
          <t>- Gastos del mes (variable + fijo)</t>
        </is>
      </c>
      <c r="B31" s="12">
        <f>B13+B24</f>
        <v/>
      </c>
      <c r="C31" s="12">
        <f>C13+C24</f>
        <v/>
      </c>
      <c r="D31" s="12">
        <f>D13+D24</f>
        <v/>
      </c>
      <c r="E31" s="12">
        <f>E13+E24</f>
        <v/>
      </c>
    </row>
    <row r="32">
      <c r="A32" s="35">
        <f> SALDO FINAL DEL MES</f>
        <v/>
      </c>
      <c r="B32" s="41">
        <f>B29+B30-B31</f>
        <v/>
      </c>
      <c r="C32" s="41">
        <f>C29+C30-C31</f>
        <v/>
      </c>
      <c r="D32" s="41">
        <f>D29+D30-D31</f>
        <v/>
      </c>
      <c r="E32" s="41">
        <f>E29+E30-E31</f>
        <v/>
      </c>
    </row>
  </sheetData>
  <mergeCells count="7">
    <mergeCell ref="A2:F2"/>
    <mergeCell ref="A10:F10"/>
    <mergeCell ref="A28:F28"/>
    <mergeCell ref="A1:F1"/>
    <mergeCell ref="A5:F5"/>
    <mergeCell ref="A16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EMBUDO COMERCIAL (SALES FUNNEL)</t>
        </is>
      </c>
    </row>
    <row r="2">
      <c r="A2" s="34" t="inlineStr">
        <is>
          <t>Dónde se pierde cada persona del proceso de venta</t>
        </is>
      </c>
    </row>
    <row r="4">
      <c r="A4" s="7" t="inlineStr">
        <is>
          <t>Etapa</t>
        </is>
      </c>
      <c r="B4" s="7" t="inlineStr">
        <is>
          <t>Mes 1</t>
        </is>
      </c>
      <c r="C4" s="7" t="inlineStr">
        <is>
          <t>Mes 2</t>
        </is>
      </c>
      <c r="D4" s="7" t="inlineStr">
        <is>
          <t>Mes 3</t>
        </is>
      </c>
      <c r="E4" s="7" t="inlineStr">
        <is>
          <t>% Conversión</t>
        </is>
      </c>
      <c r="F4" s="7" t="inlineStr">
        <is>
          <t>Notas</t>
        </is>
      </c>
    </row>
    <row r="5">
      <c r="A5" s="13" t="inlineStr">
        <is>
          <t>1️⃣ Personas que preguntan</t>
        </is>
      </c>
      <c r="B5" s="22" t="n"/>
      <c r="C5" s="22" t="n"/>
      <c r="D5" s="22" t="n"/>
      <c r="E5" s="13" t="n"/>
      <c r="F5" s="13" t="inlineStr">
        <is>
          <t>Contactos WhatsApp o llamadas</t>
        </is>
      </c>
    </row>
    <row r="6">
      <c r="A6" s="13" t="inlineStr">
        <is>
          <t>2️⃣ Asisten a clase de prueba</t>
        </is>
      </c>
      <c r="B6" s="22" t="n"/>
      <c r="C6" s="22" t="n"/>
      <c r="D6" s="22" t="n"/>
      <c r="E6" s="23">
        <f>IF(B5=0,0,B6/B5)</f>
        <v/>
      </c>
      <c r="F6" s="13" t="inlineStr">
        <is>
          <t>Objetivo: medir cada etapa</t>
        </is>
      </c>
    </row>
    <row r="7">
      <c r="A7" s="13" t="inlineStr">
        <is>
          <t>3️⃣ Se matriculan (mes 1)</t>
        </is>
      </c>
      <c r="B7" s="22" t="n"/>
      <c r="C7" s="22" t="n"/>
      <c r="D7" s="22" t="n"/>
      <c r="E7" s="23">
        <f>IF(B6=0,0,B7/B6)</f>
        <v/>
      </c>
      <c r="F7" s="13" t="inlineStr">
        <is>
          <t>Objetivo: medir cada etapa</t>
        </is>
      </c>
    </row>
    <row r="8">
      <c r="A8" s="13" t="inlineStr">
        <is>
          <t>4️⃣ Renuevan mes 2</t>
        </is>
      </c>
      <c r="B8" s="22" t="n"/>
      <c r="C8" s="22" t="n"/>
      <c r="D8" s="22" t="n"/>
      <c r="E8" s="23">
        <f>IF(B7=0,0,B8/B7)</f>
        <v/>
      </c>
      <c r="F8" s="13" t="inlineStr">
        <is>
          <t>Objetivo: medir cada etapa</t>
        </is>
      </c>
    </row>
    <row r="9">
      <c r="A9" s="13" t="inlineStr">
        <is>
          <t>5️⃣ Permanecen mes 6</t>
        </is>
      </c>
      <c r="B9" s="22" t="n"/>
      <c r="C9" s="22" t="n"/>
      <c r="D9" s="22" t="n"/>
      <c r="E9" s="23">
        <f>IF(B8=0,0,B9/B8)</f>
        <v/>
      </c>
      <c r="F9" s="13" t="inlineStr">
        <is>
          <t>Objetivo: medir cada etapa</t>
        </is>
      </c>
    </row>
    <row r="10">
      <c r="A10" s="13" t="inlineStr">
        <is>
          <t>6️⃣ Se convierten en referidos</t>
        </is>
      </c>
      <c r="B10" s="22" t="n"/>
      <c r="C10" s="22" t="n"/>
      <c r="D10" s="22" t="n"/>
      <c r="E10" s="23">
        <f>IF(B9=0,0,B10/B9)</f>
        <v/>
      </c>
      <c r="F10" s="13" t="inlineStr">
        <is>
          <t>Objetivo: medir cada etapa</t>
        </is>
      </c>
    </row>
    <row r="13">
      <c r="A13" s="20" t="inlineStr">
        <is>
          <t>CONVERSIÓN CRÍTICA POR ETAPA</t>
        </is>
      </c>
    </row>
    <row r="14">
      <c r="A14" s="13" t="inlineStr">
        <is>
          <t>Pregunta → Prueba</t>
        </is>
      </c>
      <c r="B14" s="13" t="inlineStr">
        <is>
          <t>&gt;60%</t>
        </is>
      </c>
      <c r="C14" s="13" t="inlineStr">
        <is>
          <t>Si &lt;60%: interés débil o precio muy alto</t>
        </is>
      </c>
    </row>
    <row r="15">
      <c r="A15" s="13" t="inlineStr">
        <is>
          <t>Prueba → Matrícula</t>
        </is>
      </c>
      <c r="B15" s="13" t="inlineStr">
        <is>
          <t>&gt;40%</t>
        </is>
      </c>
      <c r="C15" s="13" t="inlineStr">
        <is>
          <t>Si &lt;40%: producto/experiencia defectuosos</t>
        </is>
      </c>
    </row>
    <row r="16">
      <c r="A16" s="13" t="inlineStr">
        <is>
          <t>Mes 1 → Mes 2</t>
        </is>
      </c>
      <c r="B16" s="13" t="inlineStr">
        <is>
          <t>&gt;80%</t>
        </is>
      </c>
      <c r="C16" s="13" t="inlineStr">
        <is>
          <t>Si &lt;80%: problema en primeras clases o precio</t>
        </is>
      </c>
    </row>
    <row r="17">
      <c r="A17" s="13" t="inlineStr">
        <is>
          <t>Mes 1 → Mes 6</t>
        </is>
      </c>
      <c r="B17" s="13" t="inlineStr">
        <is>
          <t>&gt;60%</t>
        </is>
      </c>
      <c r="C17" s="13" t="inlineStr">
        <is>
          <t>Si &lt;60%: falta de motivación de alumna o falta de progreso visible</t>
        </is>
      </c>
    </row>
    <row r="18">
      <c r="A18" s="13" t="inlineStr">
        <is>
          <t>Matrícula → Referidos</t>
        </is>
      </c>
      <c r="B18" s="13" t="inlineStr">
        <is>
          <t>&gt;30%</t>
        </is>
      </c>
      <c r="C18" s="13" t="inlineStr">
        <is>
          <t>Si &lt;30%: no hay satisfacción suficiente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ANÁLISIS DE COHORTES</t>
        </is>
      </c>
    </row>
    <row r="2">
      <c r="A2" s="34" t="inlineStr">
        <is>
          <t>Retención de grupos de alumnas por mes de ingreso</t>
        </is>
      </c>
    </row>
    <row r="4">
      <c r="A4" s="7" t="inlineStr">
        <is>
          <t>Mes Ingreso</t>
        </is>
      </c>
      <c r="B4" s="7" t="inlineStr">
        <is>
          <t>Mes 1</t>
        </is>
      </c>
      <c r="C4" s="7" t="inlineStr">
        <is>
          <t>Mes 2</t>
        </is>
      </c>
      <c r="D4" s="7" t="inlineStr">
        <is>
          <t>Mes 3</t>
        </is>
      </c>
      <c r="E4" s="7" t="inlineStr">
        <is>
          <t>Mes 4</t>
        </is>
      </c>
      <c r="F4" s="7" t="inlineStr">
        <is>
          <t>Mes 5</t>
        </is>
      </c>
      <c r="G4" s="7" t="inlineStr">
        <is>
          <t>Mes 6</t>
        </is>
      </c>
    </row>
    <row r="5">
      <c r="A5" t="inlineStr">
        <is>
          <t>Cohorte Mes 1</t>
        </is>
      </c>
      <c r="B5" s="22" t="n"/>
      <c r="C5" s="22" t="n"/>
      <c r="D5" s="22" t="n"/>
      <c r="E5" s="22" t="n"/>
      <c r="F5" s="22" t="n"/>
      <c r="G5" s="22" t="n"/>
      <c r="H5" s="22" t="n"/>
    </row>
    <row r="6">
      <c r="A6" t="inlineStr">
        <is>
          <t>Cohorte Mes 2</t>
        </is>
      </c>
      <c r="B6" s="22" t="n"/>
      <c r="C6" s="22" t="n"/>
      <c r="D6" s="22" t="n"/>
      <c r="E6" s="22" t="n"/>
      <c r="F6" s="22" t="n"/>
      <c r="G6" s="22" t="n"/>
      <c r="H6" s="22" t="n"/>
    </row>
    <row r="7">
      <c r="A7" t="inlineStr">
        <is>
          <t>Cohorte Mes 3</t>
        </is>
      </c>
      <c r="B7" s="22" t="n"/>
      <c r="C7" s="22" t="n"/>
      <c r="D7" s="22" t="n"/>
      <c r="E7" s="22" t="n"/>
      <c r="F7" s="22" t="n"/>
      <c r="G7" s="22" t="n"/>
      <c r="H7" s="22" t="n"/>
    </row>
    <row r="8">
      <c r="A8" t="inlineStr">
        <is>
          <t>Cohorte Mes 4</t>
        </is>
      </c>
      <c r="B8" s="22" t="n"/>
      <c r="C8" s="22" t="n"/>
      <c r="D8" s="22" t="n"/>
      <c r="E8" s="22" t="n"/>
      <c r="F8" s="22" t="n"/>
      <c r="G8" s="22" t="n"/>
      <c r="H8" s="22" t="n"/>
    </row>
    <row r="9">
      <c r="A9" t="inlineStr">
        <is>
          <t>Cohorte Mes 5</t>
        </is>
      </c>
      <c r="B9" s="22" t="n"/>
      <c r="C9" s="22" t="n"/>
      <c r="D9" s="22" t="n"/>
      <c r="E9" s="22" t="n"/>
      <c r="F9" s="22" t="n"/>
      <c r="G9" s="22" t="n"/>
      <c r="H9" s="22" t="n"/>
    </row>
    <row r="10">
      <c r="A10" t="inlineStr">
        <is>
          <t>Cohorte Mes 6</t>
        </is>
      </c>
      <c r="B10" s="22" t="n"/>
      <c r="C10" s="22" t="n"/>
      <c r="D10" s="22" t="n"/>
      <c r="E10" s="22" t="n"/>
      <c r="F10" s="22" t="n"/>
      <c r="G10" s="22" t="n"/>
      <c r="H10" s="22" t="n"/>
    </row>
    <row r="12">
      <c r="A12" s="35" t="inlineStr">
        <is>
          <t>Retención promedio (%)</t>
        </is>
      </c>
      <c r="B12" s="27">
        <f>IF(COUNT(B6:B11)=0,0,AVERAGE(B6:B11))</f>
        <v/>
      </c>
      <c r="C12" s="27">
        <f>IF(COUNT(C6:C11)=0,0,AVERAGE(C6:C11))</f>
        <v/>
      </c>
      <c r="D12" s="27">
        <f>IF(COUNT(D6:D11)=0,0,AVERAGE(D6:D11))</f>
        <v/>
      </c>
      <c r="E12" s="27">
        <f>IF(COUNT(E6:E11)=0,0,AVERAGE(E6:E11))</f>
        <v/>
      </c>
      <c r="F12" s="27">
        <f>IF(COUNT(F6:F11)=0,0,AVERAGE(F6:F11))</f>
        <v/>
      </c>
      <c r="G12" s="27">
        <f>IF(COUNT(G6:G11)=0,0,AVERAGE(G6:G11))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CALENDARIO ANUAL OPERATIVO</t>
        </is>
      </c>
    </row>
    <row r="2">
      <c r="A2" s="34" t="inlineStr">
        <is>
          <t>Contexto estacional para interpretar datos</t>
        </is>
      </c>
    </row>
    <row r="4">
      <c r="A4" s="7" t="inlineStr">
        <is>
          <t>Mes</t>
        </is>
      </c>
      <c r="B4" s="7" t="inlineStr">
        <is>
          <t>Período</t>
        </is>
      </c>
      <c r="C4" s="7" t="inlineStr">
        <is>
          <t>Contexto</t>
        </is>
      </c>
      <c r="D4" s="7" t="inlineStr">
        <is>
          <t>Acciones</t>
        </is>
      </c>
      <c r="E4" s="7" t="inlineStr">
        <is>
          <t>Métrica clave</t>
        </is>
      </c>
    </row>
    <row r="5">
      <c r="A5" s="13" t="inlineStr">
        <is>
          <t>Enero</t>
        </is>
      </c>
      <c r="B5" s="13" t="inlineStr">
        <is>
          <t>Año nuevo</t>
        </is>
      </c>
      <c r="C5" s="13" t="inlineStr">
        <is>
          <t>Captación alta (nuevas rutinas)</t>
        </is>
      </c>
      <c r="D5" s="13" t="inlineStr">
        <is>
          <t>Marketing, referidos</t>
        </is>
      </c>
      <c r="E5" s="13" t="inlineStr">
        <is>
          <t>Nuevas matríc</t>
        </is>
      </c>
    </row>
    <row r="6">
      <c r="A6" s="13" t="inlineStr">
        <is>
          <t>Febrero-Marzo</t>
        </is>
      </c>
      <c r="B6" s="13" t="inlineStr">
        <is>
          <t>Normal</t>
        </is>
      </c>
      <c r="C6" s="13" t="inlineStr">
        <is>
          <t>Retención temprana (riesgo abandono)</t>
        </is>
      </c>
      <c r="D6" s="13" t="inlineStr">
        <is>
          <t>Retener, eventos</t>
        </is>
      </c>
      <c r="E6" s="13" t="inlineStr">
        <is>
          <t>% Retención</t>
        </is>
      </c>
    </row>
    <row r="7">
      <c r="A7" s="13" t="inlineStr">
        <is>
          <t>Abril-Mayo</t>
        </is>
      </c>
      <c r="B7" s="13" t="inlineStr">
        <is>
          <t>Pre-vacaciones</t>
        </is>
      </c>
      <c r="C7" s="13" t="inlineStr">
        <is>
          <t>Estable</t>
        </is>
      </c>
      <c r="D7" s="13" t="inlineStr">
        <is>
          <t>Mantener, preparar verano</t>
        </is>
      </c>
      <c r="E7" s="13" t="inlineStr">
        <is>
          <t>Ocupación</t>
        </is>
      </c>
    </row>
    <row r="8">
      <c r="A8" s="13" t="inlineStr">
        <is>
          <t>Junio</t>
        </is>
      </c>
      <c r="B8" s="13" t="inlineStr">
        <is>
          <t>Fin de año escolar</t>
        </is>
      </c>
      <c r="C8" s="13" t="inlineStr">
        <is>
          <t>Fiestas de fin de año</t>
        </is>
      </c>
      <c r="D8" s="13" t="inlineStr">
        <is>
          <t>Festival/gala</t>
        </is>
      </c>
      <c r="E8" s="13" t="inlineStr">
        <is>
          <t>Satisfacción</t>
        </is>
      </c>
    </row>
    <row r="9">
      <c r="A9" s="13" t="inlineStr">
        <is>
          <t>Julio</t>
        </is>
      </c>
      <c r="B9" s="13" t="inlineStr">
        <is>
          <t>Vacaciones escolares</t>
        </is>
      </c>
      <c r="C9" s="13" t="inlineStr">
        <is>
          <t>Baja demanda, posible cierre</t>
        </is>
      </c>
      <c r="D9" s="13" t="inlineStr">
        <is>
          <t>Campamento (opcional)</t>
        </is>
      </c>
      <c r="E9" s="13" t="inlineStr">
        <is>
          <t>CAC</t>
        </is>
      </c>
    </row>
    <row r="10">
      <c r="A10" s="13" t="inlineStr">
        <is>
          <t>Agosto</t>
        </is>
      </c>
      <c r="B10" s="13" t="inlineStr">
        <is>
          <t>Retorno escolar</t>
        </is>
      </c>
      <c r="C10" s="13" t="inlineStr">
        <is>
          <t>Captación alta (vuelta a clases)</t>
        </is>
      </c>
      <c r="D10" s="13" t="inlineStr">
        <is>
          <t>Marketing, re-inscrip</t>
        </is>
      </c>
      <c r="E10" s="13" t="inlineStr">
        <is>
          <t>Conversión</t>
        </is>
      </c>
    </row>
    <row r="11">
      <c r="A11" s="13" t="inlineStr">
        <is>
          <t>Septiembre-Octubre</t>
        </is>
      </c>
      <c r="B11" s="13" t="inlineStr">
        <is>
          <t>Normal</t>
        </is>
      </c>
      <c r="C11" s="13" t="inlineStr">
        <is>
          <t>Estable post-vacaciones</t>
        </is>
      </c>
      <c r="D11" s="13" t="inlineStr">
        <is>
          <t>Consolidar alumnas</t>
        </is>
      </c>
      <c r="E11" s="13" t="inlineStr">
        <is>
          <t>Ocupación</t>
        </is>
      </c>
    </row>
    <row r="12">
      <c r="A12" s="13" t="inlineStr">
        <is>
          <t>Noviembre-Diciembre</t>
        </is>
      </c>
      <c r="B12" s="13" t="inlineStr">
        <is>
          <t>Festejos</t>
        </is>
      </c>
      <c r="C12" s="13" t="inlineStr">
        <is>
          <t>Eventos, competiciones</t>
        </is>
      </c>
      <c r="D12" s="13" t="inlineStr">
        <is>
          <t>Festival, navidad</t>
        </is>
      </c>
      <c r="E12" s="13" t="inlineStr">
        <is>
          <t>NPS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ANÁLISIS DE RIESGOS OPERATIVOS</t>
        </is>
      </c>
    </row>
    <row r="2">
      <c r="A2" s="34" t="inlineStr">
        <is>
          <t>Contingencias y planes de mitigación</t>
        </is>
      </c>
    </row>
    <row r="4">
      <c r="A4" s="7" t="inlineStr">
        <is>
          <t>Riesgo</t>
        </is>
      </c>
      <c r="B4" s="7" t="inlineStr">
        <is>
          <t>Impacto</t>
        </is>
      </c>
      <c r="C4" s="7" t="inlineStr">
        <is>
          <t>Probabilidad</t>
        </is>
      </c>
      <c r="D4" s="7" t="inlineStr">
        <is>
          <t>Prioridad</t>
        </is>
      </c>
      <c r="E4" s="7" t="inlineStr">
        <is>
          <t>Plan de mitigación</t>
        </is>
      </c>
    </row>
    <row r="5">
      <c r="A5" s="13" t="inlineStr">
        <is>
          <t>Enfermedad profesora principal</t>
        </is>
      </c>
      <c r="B5" s="13" t="inlineStr">
        <is>
          <t>Alto (80% ingresos dependen)</t>
        </is>
      </c>
      <c r="C5" s="13" t="inlineStr">
        <is>
          <t>Media</t>
        </is>
      </c>
      <c r="D5" s="13" t="inlineStr">
        <is>
          <t>🔴 CRÍTICO</t>
        </is>
      </c>
      <c r="E5" s="13" t="inlineStr">
        <is>
          <t>Contratar backup</t>
        </is>
      </c>
    </row>
    <row r="6">
      <c r="A6" s="13" t="inlineStr">
        <is>
          <t>Pérdida del local (desalojo, cierre)</t>
        </is>
      </c>
      <c r="B6" s="13" t="inlineStr">
        <is>
          <t>Alto</t>
        </is>
      </c>
      <c r="C6" s="13" t="inlineStr">
        <is>
          <t>Baja pero real</t>
        </is>
      </c>
      <c r="D6" s="13" t="inlineStr">
        <is>
          <t>🔴 CRÍTICO</t>
        </is>
      </c>
      <c r="E6" s="13" t="inlineStr">
        <is>
          <t>Fondo de emergencia 3 meses alquiler</t>
        </is>
      </c>
    </row>
    <row r="7">
      <c r="A7" s="13" t="inlineStr">
        <is>
          <t>Ruptura alianza con colegio</t>
        </is>
      </c>
      <c r="B7" s="13" t="inlineStr">
        <is>
          <t>Medio-Alto</t>
        </is>
      </c>
      <c r="C7" s="13" t="inlineStr">
        <is>
          <t>Media</t>
        </is>
      </c>
      <c r="D7" s="13" t="inlineStr">
        <is>
          <t>🟡 ALTO</t>
        </is>
      </c>
      <c r="E7" s="13" t="inlineStr">
        <is>
          <t>Diversificar colegios (no 1 solo)</t>
        </is>
      </c>
    </row>
    <row r="8">
      <c r="A8" s="13" t="inlineStr">
        <is>
          <t>Embargo/secuestro en Venezuela</t>
        </is>
      </c>
      <c r="B8" s="13" t="inlineStr">
        <is>
          <t>Alto</t>
        </is>
      </c>
      <c r="C8" s="13" t="inlineStr">
        <is>
          <t>Baja</t>
        </is>
      </c>
      <c r="D8" s="13" t="inlineStr">
        <is>
          <t>🔴 CRÍTICO</t>
        </is>
      </c>
      <c r="E8" s="13" t="inlineStr">
        <is>
          <t>Fondo 6 meses en USD digital</t>
        </is>
      </c>
    </row>
    <row r="9">
      <c r="A9" s="13" t="inlineStr">
        <is>
          <t>Fuga de clientes a competidor</t>
        </is>
      </c>
      <c r="B9" s="13" t="inlineStr">
        <is>
          <t>Medio</t>
        </is>
      </c>
      <c r="C9" s="13" t="inlineStr">
        <is>
          <t>Media</t>
        </is>
      </c>
      <c r="D9" s="13" t="inlineStr">
        <is>
          <t>🟡 ALTO</t>
        </is>
      </c>
      <c r="E9" s="13" t="inlineStr">
        <is>
          <t>Mejorar experiencia, eventos</t>
        </is>
      </c>
    </row>
    <row r="10">
      <c r="A10" s="13" t="inlineStr">
        <is>
          <t>No renovación de alumnas (baja retención)</t>
        </is>
      </c>
      <c r="B10" s="13" t="inlineStr">
        <is>
          <t>Medio-Alto</t>
        </is>
      </c>
      <c r="C10" s="13" t="inlineStr">
        <is>
          <t>Alta</t>
        </is>
      </c>
      <c r="D10" s="13" t="inlineStr">
        <is>
          <t>🟡 ALTO</t>
        </is>
      </c>
      <c r="E10" s="13" t="inlineStr">
        <is>
          <t>Medir NPS, mejorar servicio</t>
        </is>
      </c>
    </row>
    <row r="11">
      <c r="A11" s="13" t="inlineStr">
        <is>
          <t>Lesión alumna (demanda)</t>
        </is>
      </c>
      <c r="B11" s="13" t="inlineStr">
        <is>
          <t>Bajo-Medio</t>
        </is>
      </c>
      <c r="C11" s="13" t="inlineStr">
        <is>
          <t>Baja</t>
        </is>
      </c>
      <c r="D11" s="13" t="inlineStr">
        <is>
          <t>🟢 MEDIO</t>
        </is>
      </c>
      <c r="E11" s="13" t="inlineStr">
        <is>
          <t>Seguro de responsabilidad civil</t>
        </is>
      </c>
    </row>
    <row r="12">
      <c r="A12" s="13" t="inlineStr">
        <is>
          <t>Falta de renovación de inscripción</t>
        </is>
      </c>
      <c r="B12" s="13" t="inlineStr">
        <is>
          <t>Bajo</t>
        </is>
      </c>
      <c r="C12" s="13" t="inlineStr">
        <is>
          <t>Alta</t>
        </is>
      </c>
      <c r="D12" s="13" t="inlineStr">
        <is>
          <t>🟢 MEDIO</t>
        </is>
      </c>
      <c r="E12" s="13" t="inlineStr">
        <is>
          <t>Sistema de recordatorios automatizado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VENTAJA COMPETITIVA (ANÁLISIS PUNTUAL)</t>
        </is>
      </c>
    </row>
    <row r="2">
      <c r="A2" s="34" t="inlineStr">
        <is>
          <t>¿Qué hace difícil de copiar a Danza Chic? Scoring de defensibilidad</t>
        </is>
      </c>
    </row>
    <row r="4">
      <c r="A4" s="7" t="inlineStr">
        <is>
          <t>Activo</t>
        </is>
      </c>
      <c r="B4" s="7" t="inlineStr">
        <is>
          <t>¿La tiene?</t>
        </is>
      </c>
      <c r="C4" s="7" t="inlineStr">
        <is>
          <t>Difícil de copiar?</t>
        </is>
      </c>
      <c r="D4" s="7" t="inlineStr">
        <is>
          <t>Impacto (1-5)</t>
        </is>
      </c>
      <c r="E4" s="7" t="inlineStr">
        <is>
          <t>Puntuación</t>
        </is>
      </c>
      <c r="F4" s="7" t="inlineStr">
        <is>
          <t>Cómo fortalecerla</t>
        </is>
      </c>
    </row>
    <row r="5">
      <c r="A5" s="13" t="inlineStr">
        <is>
          <t>Metodología documentada</t>
        </is>
      </c>
      <c r="B5" s="22" t="n"/>
      <c r="C5" s="13" t="inlineStr">
        <is>
          <t>Alto</t>
        </is>
      </c>
      <c r="D5" s="13" t="inlineStr">
        <is>
          <t>5</t>
        </is>
      </c>
      <c r="E5" s="42">
        <f>IF(D5="",0,VALUE(D5))</f>
        <v/>
      </c>
      <c r="F5" s="13" t="inlineStr">
        <is>
          <t>Crear manual de procesos</t>
        </is>
      </c>
    </row>
    <row r="6">
      <c r="A6" s="13" t="inlineStr">
        <is>
          <t>Comunidad fuerte de padres</t>
        </is>
      </c>
      <c r="B6" s="22" t="n"/>
      <c r="C6" s="13" t="inlineStr">
        <is>
          <t>Alto</t>
        </is>
      </c>
      <c r="D6" s="13" t="inlineStr">
        <is>
          <t>4</t>
        </is>
      </c>
      <c r="E6" s="42">
        <f>IF(D6="",0,VALUE(D6))</f>
        <v/>
      </c>
      <c r="F6" s="13" t="inlineStr">
        <is>
          <t>Grupo WhatsApp + eventos privados</t>
        </is>
      </c>
    </row>
    <row r="7">
      <c r="A7" s="13" t="inlineStr">
        <is>
          <t>Eventos reconocidos (galas anuales)</t>
        </is>
      </c>
      <c r="B7" s="22" t="n"/>
      <c r="C7" s="13" t="inlineStr">
        <is>
          <t>Medio-Alto</t>
        </is>
      </c>
      <c r="D7" s="13" t="inlineStr">
        <is>
          <t>4</t>
        </is>
      </c>
      <c r="E7" s="42">
        <f>IF(D7="",0,VALUE(D7))</f>
        <v/>
      </c>
      <c r="F7" s="13" t="inlineStr">
        <is>
          <t>Participar en ferias locales</t>
        </is>
      </c>
    </row>
    <row r="8">
      <c r="A8" s="13" t="inlineStr">
        <is>
          <t>Alianzas exclusivas con colegios</t>
        </is>
      </c>
      <c r="B8" s="22" t="n"/>
      <c r="C8" s="13" t="inlineStr">
        <is>
          <t>Alto</t>
        </is>
      </c>
      <c r="D8" s="13" t="inlineStr">
        <is>
          <t>4</t>
        </is>
      </c>
      <c r="E8" s="42">
        <f>IF(D8="",0,VALUE(D8))</f>
        <v/>
      </c>
      <c r="F8" s="13" t="inlineStr">
        <is>
          <t>Contratos formales, no verbales</t>
        </is>
      </c>
    </row>
    <row r="9">
      <c r="A9" s="13" t="inlineStr">
        <is>
          <t>Marca consolidada (años)</t>
        </is>
      </c>
      <c r="B9" s="22" t="n"/>
      <c r="C9" s="13" t="inlineStr">
        <is>
          <t>Medio</t>
        </is>
      </c>
      <c r="D9" s="13" t="inlineStr">
        <is>
          <t>3</t>
        </is>
      </c>
      <c r="E9" s="42">
        <f>IF(D9="",0,VALUE(D9))</f>
        <v/>
      </c>
      <c r="F9" s="13" t="inlineStr">
        <is>
          <t>Registrar marca en SAPI</t>
        </is>
      </c>
    </row>
    <row r="10">
      <c r="A10" s="13" t="inlineStr">
        <is>
          <t>Reputación de la propietaria</t>
        </is>
      </c>
      <c r="B10" s="22" t="n"/>
      <c r="C10" s="13" t="inlineStr">
        <is>
          <t>Bajo</t>
        </is>
      </c>
      <c r="D10" s="13" t="inlineStr">
        <is>
          <t>2</t>
        </is>
      </c>
      <c r="E10" s="42">
        <f>IF(D10="",0,VALUE(D10))</f>
        <v/>
      </c>
      <c r="F10" s="13" t="inlineStr">
        <is>
          <t>❌ Sustituir por ventajas estructurales</t>
        </is>
      </c>
    </row>
    <row r="12">
      <c r="A12" s="20" t="inlineStr">
        <is>
          <t>PUNTUACIÓN TOTAL</t>
        </is>
      </c>
      <c r="E12" s="43">
        <f>SUM(E5:E10)</f>
        <v/>
      </c>
    </row>
    <row r="13">
      <c r="A13" s="6" t="inlineStr">
        <is>
          <t>⚠️ Si "Reputación de propietaria" &gt; 50% de puntuación: el negocio NO ES DEFENDIBLE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30" customWidth="1" min="4" max="4"/>
  </cols>
  <sheetData>
    <row r="1">
      <c r="A1" s="1" t="inlineStr">
        <is>
          <t>BLOQUE 0: DATOS INTERNOS OBLIGATORIOS</t>
        </is>
      </c>
    </row>
    <row r="2">
      <c r="A2" s="6" t="inlineStr">
        <is>
          <t>⚠️ Sin estos datos, TODO el resto es especulación. COMPLETAR ANTES DE USAR.</t>
        </is>
      </c>
    </row>
    <row r="4">
      <c r="A4" s="7" t="inlineStr">
        <is>
          <t>Dato</t>
        </is>
      </c>
      <c r="B4" s="7" t="inlineStr">
        <is>
          <t>Valor actual</t>
        </is>
      </c>
      <c r="C4" s="7" t="inlineStr">
        <is>
          <t>Fecha actualización</t>
        </is>
      </c>
      <c r="D4" s="7" t="inlineStr">
        <is>
          <t>Fuente</t>
        </is>
      </c>
    </row>
    <row r="5">
      <c r="A5" s="8" t="inlineStr">
        <is>
          <t>Años funcionando</t>
        </is>
      </c>
      <c r="B5" s="9" t="n"/>
      <c r="C5" s="8" t="n"/>
      <c r="D5" s="8" t="inlineStr">
        <is>
          <t>Hermana</t>
        </is>
      </c>
    </row>
    <row r="6">
      <c r="A6" s="8" t="inlineStr">
        <is>
          <t>Alumnas actuales (total)</t>
        </is>
      </c>
      <c r="B6" s="9" t="n"/>
      <c r="C6" s="8" t="n"/>
      <c r="D6" s="8" t="inlineStr">
        <is>
          <t>Registro interno</t>
        </is>
      </c>
    </row>
    <row r="7">
      <c r="A7" s="8" t="inlineStr">
        <is>
          <t>Alumnas históricas (máximo)</t>
        </is>
      </c>
      <c r="B7" s="9" t="n"/>
      <c r="C7" s="8" t="n"/>
      <c r="D7" s="8" t="inlineStr">
        <is>
          <t>Registro interno</t>
        </is>
      </c>
    </row>
    <row r="8">
      <c r="A8" s="8" t="inlineStr">
        <is>
          <t>Mensualidad actual (USD)</t>
        </is>
      </c>
      <c r="B8" s="9" t="n"/>
      <c r="C8" s="8" t="n"/>
      <c r="D8" s="8" t="inlineStr">
        <is>
          <t>Hermana</t>
        </is>
      </c>
    </row>
    <row r="9">
      <c r="A9" s="8" t="inlineStr">
        <is>
          <t>Ingreso mensual actual (USD)</t>
        </is>
      </c>
      <c r="B9" s="9" t="n"/>
      <c r="C9" s="8" t="n"/>
      <c r="D9" s="8" t="inlineStr">
        <is>
          <t>Registro interno</t>
        </is>
      </c>
    </row>
    <row r="10">
      <c r="A10" s="8" t="inlineStr">
        <is>
          <t>Clases que da la propietaria</t>
        </is>
      </c>
      <c r="B10" s="9" t="n"/>
      <c r="C10" s="8" t="n"/>
      <c r="D10" s="8" t="inlineStr">
        <is>
          <t>Hermana</t>
        </is>
      </c>
    </row>
    <row r="11">
      <c r="A11" s="8" t="inlineStr">
        <is>
          <t>Clases que dan profesores contratados</t>
        </is>
      </c>
      <c r="B11" s="9" t="n"/>
      <c r="C11" s="8" t="n"/>
      <c r="D11" s="8" t="inlineStr">
        <is>
          <t>Hermana</t>
        </is>
      </c>
    </row>
    <row r="12">
      <c r="A12" s="8" t="inlineStr">
        <is>
          <t>Alumnas por recomendación (%)</t>
        </is>
      </c>
      <c r="B12" s="9" t="n"/>
      <c r="C12" s="8" t="n"/>
      <c r="D12" s="8" t="inlineStr">
        <is>
          <t>Encuesta madres</t>
        </is>
      </c>
    </row>
    <row r="13">
      <c r="A13" s="8" t="inlineStr">
        <is>
          <t>Alumnas que preguntan pero no se inscriben</t>
        </is>
      </c>
      <c r="B13" s="9" t="n"/>
      <c r="C13" s="8" t="n"/>
      <c r="D13" s="8" t="inlineStr">
        <is>
          <t>Registro interno</t>
        </is>
      </c>
    </row>
    <row r="14">
      <c r="A14" s="8" t="inlineStr">
        <is>
          <t>Alumnas que abandonan al mes 1</t>
        </is>
      </c>
      <c r="B14" s="9" t="n"/>
      <c r="C14" s="8" t="n"/>
      <c r="D14" s="8" t="inlineStr">
        <is>
          <t>Registro interno</t>
        </is>
      </c>
    </row>
    <row r="15">
      <c r="A15" s="8" t="inlineStr">
        <is>
          <t>Tiempo promedio de permanencia (meses)</t>
        </is>
      </c>
      <c r="B15" s="9" t="n"/>
      <c r="C15" s="8" t="n"/>
      <c r="D15" s="8" t="inlineStr">
        <is>
          <t>Registro interno</t>
        </is>
      </c>
    </row>
    <row r="16">
      <c r="A16" s="8" t="inlineStr">
        <is>
          <t>Eventos realizados (último año)</t>
        </is>
      </c>
      <c r="B16" s="9" t="n"/>
      <c r="C16" s="8" t="n"/>
      <c r="D16" s="8" t="inlineStr">
        <is>
          <t>Hermana</t>
        </is>
      </c>
    </row>
    <row r="17">
      <c r="A17" s="8" t="inlineStr">
        <is>
          <t>Alianzas con colegios activas</t>
        </is>
      </c>
      <c r="B17" s="9" t="n"/>
      <c r="C17" s="8" t="n"/>
      <c r="D17" s="8" t="inlineStr">
        <is>
          <t>Hermana</t>
        </is>
      </c>
    </row>
    <row r="18">
      <c r="A18" s="8" t="inlineStr">
        <is>
          <t>Total clientes históricos</t>
        </is>
      </c>
      <c r="B18" s="9" t="n"/>
      <c r="C18" s="8" t="n"/>
      <c r="D18" s="8" t="inlineStr">
        <is>
          <t>Registro interno</t>
        </is>
      </c>
    </row>
    <row r="19">
      <c r="A19" s="8" t="inlineStr">
        <is>
          <t>Testimonios recopilados</t>
        </is>
      </c>
      <c r="B19" s="9" t="n"/>
      <c r="C19" s="8" t="n"/>
      <c r="D19" s="8" t="inlineStr">
        <is>
          <t>Hermana</t>
        </is>
      </c>
    </row>
    <row r="20">
      <c r="A20" s="8" t="inlineStr">
        <is>
          <t>Instagram followers</t>
        </is>
      </c>
      <c r="B20" s="9" t="n"/>
      <c r="C20" s="8" t="n"/>
      <c r="D20" s="8" t="inlineStr">
        <is>
          <t>Redes sociales</t>
        </is>
      </c>
    </row>
    <row r="21">
      <c r="A21" s="8" t="inlineStr">
        <is>
          <t>Facebook followers</t>
        </is>
      </c>
      <c r="B21" s="9" t="n"/>
      <c r="C21" s="8" t="n"/>
      <c r="D21" s="8" t="inlineStr">
        <is>
          <t>Redes sociales</t>
        </is>
      </c>
    </row>
    <row r="22">
      <c r="A22" s="8" t="inlineStr">
        <is>
          <t>Mayor problema actual (propietaria)</t>
        </is>
      </c>
      <c r="B22" s="9" t="n"/>
      <c r="C22" s="8" t="n"/>
      <c r="D22" s="8" t="inlineStr">
        <is>
          <t>Hermana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BLOQUE 3: MODELO FINANCIERO ILUSTRATIVO</t>
        </is>
      </c>
    </row>
    <row r="2">
      <c r="A2" s="6" t="inlineStr">
        <is>
          <t>⚠️ MODELO ILUSTRATIVO — Supuestos no validados. Sustituir por datos reales.</t>
        </is>
      </c>
    </row>
    <row r="4">
      <c r="A4" s="3" t="inlineStr">
        <is>
          <t>SUPUESTOS (EDITAR)</t>
        </is>
      </c>
    </row>
    <row r="5">
      <c r="A5" t="inlineStr">
        <is>
          <t>Precio mensualidad (USD)</t>
        </is>
      </c>
    </row>
    <row r="6">
      <c r="A6" t="inlineStr">
        <is>
          <t>Coste variable por alumna (USD)</t>
        </is>
      </c>
    </row>
    <row r="7">
      <c r="A7" t="inlineStr">
        <is>
          <t>Alquiler local (USD/mes)</t>
        </is>
      </c>
      <c r="B7" s="10" t="n">
        <v>15</v>
      </c>
    </row>
    <row r="8">
      <c r="A8" t="inlineStr">
        <is>
          <t>Costo profesor por hora (USD)</t>
        </is>
      </c>
      <c r="B8" s="10" t="n">
        <v>3</v>
      </c>
    </row>
    <row r="9">
      <c r="A9" t="inlineStr">
        <is>
          <t>Servicios (luz, agua, etc) USD/mes</t>
        </is>
      </c>
      <c r="B9" s="10" t="n">
        <v>250</v>
      </c>
    </row>
    <row r="10">
      <c r="A10" t="inlineStr">
        <is>
          <t>Marketing USD/mes</t>
        </is>
      </c>
      <c r="B10" s="10" t="n">
        <v>5</v>
      </c>
    </row>
    <row r="11">
      <c r="A11" t="inlineStr">
        <is>
          <t>Otros gastos USD/mes</t>
        </is>
      </c>
      <c r="B11" s="10" t="n">
        <v>80</v>
      </c>
    </row>
    <row r="12">
      <c r="B12" s="10" t="n">
        <v>50</v>
      </c>
    </row>
    <row r="13">
      <c r="A13" t="inlineStr">
        <is>
          <t>GASTOS FIJOS TOTALES (Fórmula)</t>
        </is>
      </c>
      <c r="B13" s="11">
        <f>B9+B11+B12+B13</f>
        <v/>
      </c>
    </row>
    <row r="14">
      <c r="A14" t="inlineStr">
        <is>
          <t>MARGEN POR ALUMNA (Fórmula)</t>
        </is>
      </c>
      <c r="B14" s="12">
        <f>B7-B8</f>
        <v/>
      </c>
    </row>
    <row r="17">
      <c r="A17" s="3" t="inlineStr">
        <is>
          <t>ESCENARIOS</t>
        </is>
      </c>
    </row>
    <row r="18">
      <c r="A18" s="7" t="inlineStr">
        <is>
          <t>Métrica</t>
        </is>
      </c>
      <c r="B18" s="7" t="inlineStr">
        <is>
          <t>Pesimista</t>
        </is>
      </c>
      <c r="C18" s="7" t="inlineStr">
        <is>
          <t>Realista</t>
        </is>
      </c>
      <c r="D18" s="7" t="inlineStr">
        <is>
          <t>Optimista</t>
        </is>
      </c>
    </row>
    <row r="19">
      <c r="A19" s="13" t="inlineStr">
        <is>
          <t>Alumnas</t>
        </is>
      </c>
      <c r="B19" s="14" t="n">
        <v>30</v>
      </c>
      <c r="C19" s="14" t="n">
        <v>50</v>
      </c>
      <c r="D19" s="14" t="n">
        <v>80</v>
      </c>
    </row>
    <row r="20">
      <c r="A20" s="13" t="inlineStr">
        <is>
          <t>Ingreso mensual</t>
        </is>
      </c>
      <c r="B20" s="15">
        <f>B24*B7</f>
        <v/>
      </c>
      <c r="C20" s="15">
        <f>C24*B7</f>
        <v/>
      </c>
      <c r="D20" s="15">
        <f>D24*B7</f>
        <v/>
      </c>
    </row>
    <row r="21">
      <c r="A21" s="13" t="inlineStr">
        <is>
          <t>Costes variables</t>
        </is>
      </c>
      <c r="B21" s="15">
        <f>B24*B8</f>
        <v/>
      </c>
      <c r="C21" s="15">
        <f>C24*B8</f>
        <v/>
      </c>
      <c r="D21" s="15">
        <f>D24*B8</f>
        <v/>
      </c>
    </row>
    <row r="22">
      <c r="A22" s="13" t="inlineStr">
        <is>
          <t>Margen bruto</t>
        </is>
      </c>
      <c r="B22" s="15">
        <f>B25-B26</f>
        <v/>
      </c>
      <c r="C22" s="15">
        <f>C25-C26</f>
        <v/>
      </c>
      <c r="D22" s="15">
        <f>D25-D26</f>
        <v/>
      </c>
    </row>
    <row r="23">
      <c r="A23" s="13" t="inlineStr">
        <is>
          <t>Gastos fijos</t>
        </is>
      </c>
      <c r="B23" s="15">
        <f>B13</f>
        <v/>
      </c>
      <c r="C23" s="15">
        <f>B13</f>
        <v/>
      </c>
      <c r="D23" s="15">
        <f>600</f>
        <v/>
      </c>
    </row>
    <row r="24">
      <c r="A24" s="13" t="inlineStr">
        <is>
          <t>RESULTADO (PÉRDIDA/GANANCIA)</t>
        </is>
      </c>
      <c r="B24" s="15">
        <f>B27-B28</f>
        <v/>
      </c>
      <c r="C24" s="15">
        <f>C27-C28</f>
        <v/>
      </c>
      <c r="D24" s="15">
        <f>D27-D28</f>
        <v/>
      </c>
    </row>
    <row r="27">
      <c r="A27" s="3" t="inlineStr">
        <is>
          <t>PUNTO DE EQUILIBRIO</t>
        </is>
      </c>
    </row>
    <row r="28">
      <c r="A28" t="inlineStr">
        <is>
          <t>Alumnas necesarias para equilibrio</t>
        </is>
      </c>
      <c r="B28" s="16">
        <f>ROUND(B13/B14,0)</f>
        <v/>
      </c>
    </row>
  </sheetData>
  <mergeCells count="5">
    <mergeCell ref="A4:B4"/>
    <mergeCell ref="A27:D27"/>
    <mergeCell ref="A2:E2"/>
    <mergeCell ref="A1:E1"/>
    <mergeCell ref="A17:E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BLOQUE 4: AUDITORÍA DE CAPACIDAD</t>
        </is>
      </c>
    </row>
    <row r="3">
      <c r="A3" s="7" t="inlineStr">
        <is>
          <t>Métrica</t>
        </is>
      </c>
      <c r="B3" s="7" t="inlineStr">
        <is>
          <t>Valor actual</t>
        </is>
      </c>
      <c r="C3" s="7" t="inlineStr">
        <is>
          <t>Capacidad máxima</t>
        </is>
      </c>
      <c r="D3" s="7" t="inlineStr">
        <is>
          <t>Ocupación (%)</t>
        </is>
      </c>
    </row>
    <row r="5">
      <c r="A5" s="13" t="inlineStr">
        <is>
          <t>Alumnas por clase (promedio)</t>
        </is>
      </c>
      <c r="B5" s="17" t="n"/>
    </row>
    <row r="6">
      <c r="A6" s="13" t="inlineStr">
        <is>
          <t>Clases por día</t>
        </is>
      </c>
      <c r="B6" s="17" t="n"/>
    </row>
    <row r="7">
      <c r="A7" s="13" t="inlineStr">
        <is>
          <t>Días abiertos por semana</t>
        </is>
      </c>
      <c r="B7" s="17" t="n"/>
    </row>
    <row r="8">
      <c r="A8" s="13" t="inlineStr">
        <is>
          <t>Capacidad teórica total (alumnas)</t>
        </is>
      </c>
      <c r="B8" s="18">
        <f>B5*B6*B7</f>
        <v/>
      </c>
    </row>
    <row r="9">
      <c r="A9" s="13" t="inlineStr">
        <is>
          <t>Alumnas actuales</t>
        </is>
      </c>
      <c r="B9" s="17" t="n"/>
    </row>
    <row r="10">
      <c r="A10" s="13" t="inlineStr">
        <is>
          <t>OCUPACIÓN ACTUAL (%)</t>
        </is>
      </c>
      <c r="B10" s="18">
        <f>IF(B8=0,0,B9/B8)</f>
        <v/>
      </c>
    </row>
    <row r="11">
      <c r="B11" s="19" t="n"/>
    </row>
    <row r="14">
      <c r="A14" s="3" t="inlineStr">
        <is>
          <t>UMBRALES DE OCUPACIÓN</t>
        </is>
      </c>
    </row>
    <row r="15">
      <c r="A15" t="inlineStr">
        <is>
          <t>&gt;80%</t>
        </is>
      </c>
      <c r="B15" t="inlineStr">
        <is>
          <t>Verde</t>
        </is>
      </c>
      <c r="C15" t="inlineStr">
        <is>
          <t>Considerar ampliar horarios o local</t>
        </is>
      </c>
    </row>
    <row r="16">
      <c r="A16" t="inlineStr">
        <is>
          <t>60-80%</t>
        </is>
      </c>
      <c r="B16" t="inlineStr">
        <is>
          <t>Amarillo</t>
        </is>
      </c>
      <c r="C16" t="inlineStr">
        <is>
          <t>Optimizar horarios, marketing focalizado</t>
        </is>
      </c>
    </row>
    <row r="17">
      <c r="A17" t="inlineStr">
        <is>
          <t>&lt;60%</t>
        </is>
      </c>
      <c r="B17" t="inlineStr">
        <is>
          <t>Rojo</t>
        </is>
      </c>
      <c r="C17" t="inlineStr">
        <is>
          <t>Revisar precio, producto o captación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>
      <c r="A1" s="1" t="inlineStr">
        <is>
          <t>BLOQUE 5: ANÁLISIS DE ABANDONO</t>
        </is>
      </c>
    </row>
    <row r="2">
      <c r="A2" s="20" t="inlineStr">
        <is>
          <t>5.1 MOTIVOS DE ABANDONO (Encuesta a madres)</t>
        </is>
      </c>
    </row>
    <row r="4">
      <c r="A4" s="7" t="inlineStr">
        <is>
          <t>Motivo</t>
        </is>
      </c>
      <c r="B4" s="7" t="inlineStr">
        <is>
          <t>% del total</t>
        </is>
      </c>
      <c r="C4" s="7" t="inlineStr">
        <is>
          <t>Acción sugerida</t>
        </is>
      </c>
    </row>
    <row r="5">
      <c r="A5" s="13" t="inlineStr">
        <is>
          <t>Precio</t>
        </is>
      </c>
      <c r="B5" s="21" t="n"/>
      <c r="C5" s="13" t="inlineStr">
        <is>
          <t>Revisar precio, crear plan de pagos</t>
        </is>
      </c>
    </row>
    <row r="6">
      <c r="A6" s="13" t="inlineStr">
        <is>
          <t>Cambio de colegio</t>
        </is>
      </c>
      <c r="B6" s="21" t="n"/>
      <c r="C6" s="13" t="inlineStr">
        <is>
          <t>Nada (factor externo)</t>
        </is>
      </c>
    </row>
    <row r="7">
      <c r="A7" s="13" t="inlineStr">
        <is>
          <t>Falta de interés de la niña</t>
        </is>
      </c>
      <c r="B7" s="21" t="n"/>
      <c r="C7" s="13" t="inlineStr">
        <is>
          <t>Revisar metodología, añadir variedad</t>
        </is>
      </c>
    </row>
    <row r="8">
      <c r="A8" s="13" t="inlineStr">
        <is>
          <t>Lesión</t>
        </is>
      </c>
      <c r="B8" s="21" t="n"/>
      <c r="C8" s="13" t="inlineStr">
        <is>
          <t>Revisar protocolo de calentamiento</t>
        </is>
      </c>
    </row>
    <row r="9">
      <c r="A9" s="13" t="inlineStr">
        <is>
          <t>Horarios incompatibles</t>
        </is>
      </c>
      <c r="B9" s="21" t="n"/>
      <c r="C9" s="13" t="inlineStr">
        <is>
          <t>PRIORIDAD #1: Abrir horarios alternativos</t>
        </is>
      </c>
    </row>
    <row r="10">
      <c r="A10" s="13" t="inlineStr">
        <is>
          <t>Cambio de ciudad</t>
        </is>
      </c>
      <c r="B10" s="21" t="n"/>
      <c r="C10" s="13" t="inlineStr">
        <is>
          <t>Nada (factor externo)</t>
        </is>
      </c>
    </row>
    <row r="11">
      <c r="A11" s="13" t="inlineStr">
        <is>
          <t>Otra actividad (fútbol, natación)</t>
        </is>
      </c>
      <c r="B11" s="21" t="n"/>
      <c r="C11" s="13" t="inlineStr">
        <is>
          <t>Analizar qué ofrecen esas actividades</t>
        </is>
      </c>
    </row>
    <row r="12">
      <c r="A12" s="13" t="inlineStr">
        <is>
          <t>Insatisfacción con la enseñanza</t>
        </is>
      </c>
      <c r="B12" s="21" t="n"/>
      <c r="C12" s="13" t="inlineStr">
        <is>
          <t>Revisar metodología</t>
        </is>
      </c>
    </row>
    <row r="13">
      <c r="A13" s="13" t="inlineStr">
        <is>
          <t>Problemas familiares/económicos</t>
        </is>
      </c>
      <c r="B13" s="21" t="n"/>
      <c r="C13" s="13" t="inlineStr">
        <is>
          <t>Ofrecer plan de emergencia</t>
        </is>
      </c>
    </row>
    <row r="14">
      <c r="A14" s="13" t="inlineStr">
        <is>
          <t>No especificado</t>
        </is>
      </c>
      <c r="B14" s="21" t="n"/>
      <c r="C14" s="13" t="inlineStr">
        <is>
          <t>Llamar personalmente a cada familia</t>
        </is>
      </c>
    </row>
    <row r="17">
      <c r="A17" s="20" t="inlineStr">
        <is>
          <t>5.2 TASA DE ABANDONO MENSUAL</t>
        </is>
      </c>
    </row>
    <row r="18">
      <c r="A18" s="7" t="inlineStr">
        <is>
          <t>Mes</t>
        </is>
      </c>
      <c r="B18" s="7" t="inlineStr">
        <is>
          <t>Alumnas inicio</t>
        </is>
      </c>
      <c r="C18" s="7" t="inlineStr">
        <is>
          <t>Alumnas abandonan</t>
        </is>
      </c>
      <c r="D18" s="7" t="inlineStr">
        <is>
          <t>Tasa (%)</t>
        </is>
      </c>
    </row>
    <row r="19">
      <c r="A19" s="13" t="inlineStr">
        <is>
          <t>Mes 1</t>
        </is>
      </c>
      <c r="B19" s="22" t="n"/>
      <c r="C19" s="22" t="n"/>
      <c r="D19" s="23">
        <f>IF(B19=0,0,C19/B19)</f>
        <v/>
      </c>
    </row>
    <row r="20">
      <c r="A20" s="13" t="inlineStr">
        <is>
          <t>Mes 2</t>
        </is>
      </c>
      <c r="B20" s="22" t="n"/>
      <c r="C20" s="22" t="n"/>
      <c r="D20" s="23">
        <f>IF(B20=0,0,C20/B20)</f>
        <v/>
      </c>
    </row>
    <row r="21">
      <c r="A21" s="13" t="inlineStr">
        <is>
          <t>Mes 3</t>
        </is>
      </c>
      <c r="B21" s="22" t="n"/>
      <c r="C21" s="22" t="n"/>
      <c r="D21" s="23">
        <f>IF(B21=0,0,C21/B21)</f>
        <v/>
      </c>
    </row>
    <row r="22">
      <c r="A22" s="13" t="inlineStr">
        <is>
          <t>Mes 4</t>
        </is>
      </c>
      <c r="B22" s="22" t="n"/>
      <c r="C22" s="22" t="n"/>
      <c r="D22" s="23">
        <f>IF(B22=0,0,C22/B22)</f>
        <v/>
      </c>
    </row>
    <row r="23">
      <c r="A23" s="13" t="inlineStr">
        <is>
          <t>Mes 5</t>
        </is>
      </c>
      <c r="B23" s="22" t="n"/>
      <c r="C23" s="22" t="n"/>
      <c r="D23" s="23">
        <f>IF(B23=0,0,C23/B23)</f>
        <v/>
      </c>
    </row>
    <row r="24">
      <c r="A24" s="13" t="inlineStr">
        <is>
          <t>Mes 6</t>
        </is>
      </c>
      <c r="B24" s="22" t="n"/>
      <c r="C24" s="22" t="n"/>
      <c r="D24" s="23">
        <f>IF(B24=0,0,C24/B24)</f>
        <v/>
      </c>
    </row>
    <row r="26">
      <c r="A26" s="24" t="inlineStr">
        <is>
          <t>⚠️ UMBRAL CRÍTICO: &gt;15% abandono mensual = producto defectuoso</t>
        </is>
      </c>
    </row>
  </sheetData>
  <mergeCells count="4">
    <mergeCell ref="A1:C1"/>
    <mergeCell ref="A26:C26"/>
    <mergeCell ref="A2:C2"/>
    <mergeCell ref="A17:C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" t="inlineStr">
        <is>
          <t>BLOQUE 6: SATISFACCIÓN DEL CLIENTE</t>
        </is>
      </c>
    </row>
    <row r="3">
      <c r="A3" s="20" t="inlineStr">
        <is>
          <t>NPS (NET PROMOTER SCORE) — ENCUESTA TRIMESTRAL</t>
        </is>
      </c>
    </row>
    <row r="4">
      <c r="A4" s="7" t="inlineStr">
        <is>
          <t>Respuesta</t>
        </is>
      </c>
      <c r="B4" s="7" t="inlineStr">
        <is>
          <t>Categoría</t>
        </is>
      </c>
      <c r="C4" s="7" t="inlineStr">
        <is>
          <t>Cantidad</t>
        </is>
      </c>
    </row>
    <row r="6">
      <c r="A6" s="13" t="inlineStr">
        <is>
          <t>0-6</t>
        </is>
      </c>
      <c r="B6" s="13" t="inlineStr">
        <is>
          <t>Detractora</t>
        </is>
      </c>
      <c r="C6" s="13" t="n"/>
    </row>
    <row r="7">
      <c r="A7" s="13" t="inlineStr">
        <is>
          <t>7-8</t>
        </is>
      </c>
      <c r="B7" s="25" t="inlineStr">
        <is>
          <t>Pasiva</t>
        </is>
      </c>
      <c r="C7" s="13" t="n"/>
    </row>
    <row r="8">
      <c r="A8" s="13" t="inlineStr">
        <is>
          <t>9-10</t>
        </is>
      </c>
      <c r="B8" s="25" t="inlineStr">
        <is>
          <t>Promotora</t>
        </is>
      </c>
      <c r="C8" s="13" t="n"/>
    </row>
    <row r="9">
      <c r="B9" s="26" t="n"/>
    </row>
    <row r="10">
      <c r="A10" s="20" t="inlineStr">
        <is>
          <t>NPS = % Promotoras - % Detractoras</t>
        </is>
      </c>
      <c r="B10" s="27">
        <f>(B9/(B7+B8+B9))-(B7/(B7+B8+B9))</f>
        <v/>
      </c>
    </row>
    <row r="12">
      <c r="A12" s="24" t="inlineStr">
        <is>
          <t>⚠️ UMBRAL: NPS &gt; 50 = excelente | NPS &lt; 30 = revisar urgente</t>
        </is>
      </c>
    </row>
    <row r="15">
      <c r="A15" s="20" t="inlineStr">
        <is>
          <t>TESTIMONIOS RECOPILADOS</t>
        </is>
      </c>
    </row>
    <row r="16">
      <c r="A16" s="7" t="inlineStr">
        <is>
          <t>Fecha</t>
        </is>
      </c>
      <c r="B16" s="7" t="inlineStr">
        <is>
          <t>Testimonio (iniciales)</t>
        </is>
      </c>
      <c r="C16" s="7" t="inlineStr">
        <is>
          <t>Usado en marketing</t>
        </is>
      </c>
    </row>
    <row r="17">
      <c r="A17" s="22" t="n"/>
      <c r="B17" s="22" t="n"/>
      <c r="C17" s="22" t="n"/>
    </row>
    <row r="18">
      <c r="A18" s="22" t="n"/>
      <c r="B18" s="22" t="n"/>
      <c r="C18" s="22" t="n"/>
    </row>
    <row r="19">
      <c r="A19" s="22" t="n"/>
      <c r="B19" s="22" t="n"/>
      <c r="C19" s="22" t="n"/>
    </row>
    <row r="20">
      <c r="A20" s="22" t="n"/>
      <c r="B20" s="22" t="n"/>
      <c r="C20" s="22" t="n"/>
    </row>
    <row r="21">
      <c r="A21" s="22" t="n"/>
      <c r="B21" s="22" t="n"/>
      <c r="C21" s="22" t="n"/>
    </row>
  </sheetData>
  <mergeCells count="4">
    <mergeCell ref="A1:C1"/>
    <mergeCell ref="A3:C3"/>
    <mergeCell ref="A12:C12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BLOQUE 9: ANÁLISIS DAFO</t>
        </is>
      </c>
    </row>
    <row r="3">
      <c r="A3" s="28" t="inlineStr">
        <is>
          <t>FORTALEZAS</t>
        </is>
      </c>
    </row>
    <row r="5">
      <c r="A5" s="29" t="inlineStr">
        <is>
          <t>DEBILIDADES</t>
        </is>
      </c>
    </row>
    <row r="7">
      <c r="A7" s="30" t="inlineStr">
        <is>
          <t>OPORTUNIDADES</t>
        </is>
      </c>
    </row>
    <row r="9">
      <c r="A9" s="31" t="inlineStr">
        <is>
          <t>AMENAZAS</t>
        </is>
      </c>
    </row>
  </sheetData>
  <mergeCells count="5">
    <mergeCell ref="A7:B7"/>
    <mergeCell ref="A5:B5"/>
    <mergeCell ref="A1:B1"/>
    <mergeCell ref="A9:B9"/>
    <mergeCell ref="A3:B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</cols>
  <sheetData>
    <row r="1">
      <c r="A1" s="1" t="inlineStr">
        <is>
          <t>BLOQUE 11: CANALES DE ADQUISICIÓN</t>
        </is>
      </c>
    </row>
    <row r="3">
      <c r="A3" s="7" t="inlineStr">
        <is>
          <t>Canal</t>
        </is>
      </c>
      <c r="B3" s="7" t="inlineStr">
        <is>
          <t>Fuerza en Mérida</t>
        </is>
      </c>
      <c r="C3" s="7" t="inlineStr">
        <is>
          <t>¿Cómo medir?</t>
        </is>
      </c>
    </row>
    <row r="4">
      <c r="A4" s="13" t="inlineStr">
        <is>
          <t>Recomendación madre-madre</t>
        </is>
      </c>
      <c r="B4" s="13" t="inlineStr">
        <is>
          <t>🔴 ALTA</t>
        </is>
      </c>
      <c r="C4" s="13" t="inlineStr">
        <is>
          <t>Encuesta: ¿Cómo se enteró?</t>
        </is>
      </c>
    </row>
    <row r="5">
      <c r="A5" s="13" t="inlineStr">
        <is>
          <t>Colegios</t>
        </is>
      </c>
      <c r="B5" s="13" t="inlineStr">
        <is>
          <t>🔴 ALTA</t>
        </is>
      </c>
      <c r="C5" s="13" t="inlineStr">
        <is>
          <t>¿Alianzas activas? ¿Panfletos?</t>
        </is>
      </c>
    </row>
    <row r="6">
      <c r="A6" s="13" t="inlineStr">
        <is>
          <t>Grupos WhatsApp de padres</t>
        </is>
      </c>
      <c r="B6" s="13" t="inlineStr">
        <is>
          <t>🔴 ALTA</t>
        </is>
      </c>
      <c r="C6" s="13" t="inlineStr">
        <is>
          <t>¿Aparece en conversaciones?</t>
        </is>
      </c>
    </row>
    <row r="7">
      <c r="A7" s="13" t="inlineStr">
        <is>
          <t>Instagram local</t>
        </is>
      </c>
      <c r="B7" s="13" t="inlineStr">
        <is>
          <t>🟡 MEDIA</t>
        </is>
      </c>
      <c r="C7" s="13" t="inlineStr">
        <is>
          <t>Seguidores, interacción, DMs</t>
        </is>
      </c>
    </row>
    <row r="8">
      <c r="A8" s="13" t="inlineStr">
        <is>
          <t>Eventos gratuitos / muestras</t>
        </is>
      </c>
      <c r="B8" s="13" t="inlineStr">
        <is>
          <t>🟡 MEDIA</t>
        </is>
      </c>
      <c r="C8" s="13" t="inlineStr">
        <is>
          <t>Asistencia, conversión</t>
        </is>
      </c>
    </row>
    <row r="9">
      <c r="A9" s="13" t="inlineStr">
        <is>
          <t>Meta Ads pagadas</t>
        </is>
      </c>
      <c r="B9" s="13" t="inlineStr">
        <is>
          <t>🟢 BAJA</t>
        </is>
      </c>
      <c r="C9" s="13" t="inlineStr">
        <is>
          <t>CAC probablemente &gt; LTV</t>
        </is>
      </c>
    </row>
    <row r="10">
      <c r="A10" s="13" t="inlineStr">
        <is>
          <t>Pasear por el local</t>
        </is>
      </c>
      <c r="B10" s="13" t="inlineStr">
        <is>
          <t>🟢 BAJA-MEDIA</t>
        </is>
      </c>
      <c r="C10" s="13" t="inlineStr">
        <is>
          <t>¿Cuántos entran por el letrero?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</cols>
  <sheetData>
    <row r="1">
      <c r="A1" s="1" t="inlineStr">
        <is>
          <t>BLOQUE 12: EXPERIMENTOS DE VALIDACIÓN</t>
        </is>
      </c>
    </row>
    <row r="3">
      <c r="A3" s="13" t="inlineStr">
        <is>
          <t>Exp 1: Observación competencia</t>
        </is>
      </c>
      <c r="B3" s="13" t="inlineStr">
        <is>
          <t>0 USD, 3-4 días</t>
        </is>
      </c>
      <c r="C3" s="13" t="inlineStr">
        <is>
          <t>Contar entradas en Nueva Danza y Agbara</t>
        </is>
      </c>
    </row>
    <row r="4">
      <c r="A4" s="13" t="inlineStr">
        <is>
          <t>Exp 2: Entrevistas interceptación</t>
        </is>
      </c>
      <c r="B4" s="13" t="inlineStr">
        <is>
          <t>0 USD, 3-5 días</t>
        </is>
      </c>
      <c r="C4" s="13" t="inlineStr">
        <is>
          <t>Objetivo: 20+ contactos WhatsApp</t>
        </is>
      </c>
    </row>
    <row r="5">
      <c r="A5" s="13" t="inlineStr">
        <is>
          <t>Exp 3: Test de precio</t>
        </is>
      </c>
      <c r="B5" s="13" t="inlineStr">
        <is>
          <t>Interno</t>
        </is>
      </c>
      <c r="C5" s="13" t="inlineStr">
        <is>
          <t>Subir 10-15% a nuevas. ¿Baja conversión?</t>
        </is>
      </c>
    </row>
    <row r="6">
      <c r="A6" s="13" t="inlineStr">
        <is>
          <t>Exp 4: Oferta premium (Danza Chic Elite)</t>
        </is>
      </c>
      <c r="B6" s="13" t="inlineStr">
        <is>
          <t>0 USD</t>
        </is>
      </c>
      <c r="C6" s="13" t="inlineStr">
        <is>
          <t>Medir % familias que pagan upgrade</t>
        </is>
      </c>
    </row>
    <row r="7">
      <c r="A7" s="13" t="inlineStr">
        <is>
          <t>Exp 5: Sistema de referidos</t>
        </is>
      </c>
      <c r="B7" s="13" t="inlineStr">
        <is>
          <t>Costo bajo</t>
        </is>
      </c>
      <c r="C7" s="13" t="inlineStr">
        <is>
          <t>1 semana gratis por referida</t>
        </is>
      </c>
    </row>
    <row r="8">
      <c r="A8" s="13" t="inlineStr">
        <is>
          <t>Exp 6: Pop-up (MVP)</t>
        </is>
      </c>
      <c r="B8" s="13" t="inlineStr">
        <is>
          <t>100-300 USD</t>
        </is>
      </c>
      <c r="C8" s="13" t="inlineStr">
        <is>
          <t>Alquilar sala 8 semanas. Objetivo: 30 alumnas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BLOQUE 13: ÁRBOL DE DECISIÓN</t>
        </is>
      </c>
    </row>
    <row r="3">
      <c r="A3" s="32" t="inlineStr">
        <is>
          <t>¿Datos de Bloque 0 proporcionados?</t>
        </is>
      </c>
    </row>
    <row r="4">
      <c r="A4" s="33" t="inlineStr">
        <is>
          <t xml:space="preserve">  NO → Completar primero. Sin datos no hay estrategia.</t>
        </is>
      </c>
    </row>
    <row r="5">
      <c r="A5" s="33" t="inlineStr">
        <is>
          <t xml:space="preserve">  SÍ → ¿El negocio es rentable? (Margen &gt; 0, ocupación &gt; 60%)</t>
        </is>
      </c>
    </row>
    <row r="6">
      <c r="A6" s="33" t="inlineStr">
        <is>
          <t xml:space="preserve">    NO → Revisar antes de crecer</t>
        </is>
      </c>
    </row>
    <row r="7">
      <c r="A7" s="33" t="inlineStr">
        <is>
          <t xml:space="preserve">      - ¿Problema es precio? → Test de precio</t>
        </is>
      </c>
    </row>
    <row r="8">
      <c r="A8" s="33" t="inlineStr">
        <is>
          <t xml:space="preserve">      - ¿Problema es coste? → Reducir gastos, negociar alquiler</t>
        </is>
      </c>
    </row>
    <row r="9">
      <c r="A9" s="33" t="inlineStr">
        <is>
          <t xml:space="preserve">      - ¿Problema es producto? → Encuesta abandono + satisfacción</t>
        </is>
      </c>
    </row>
    <row r="10">
      <c r="A10" s="33" t="inlineStr">
        <is>
          <t xml:space="preserve">      - ¿Problema es captación? → Revisar canales + experimentos</t>
        </is>
      </c>
    </row>
    <row r="11">
      <c r="A11" s="33" t="inlineStr">
        <is>
          <t xml:space="preserve">    SÍ → ¿Demanda &gt; Capacidad? (Ocupación &gt; 80%)</t>
        </is>
      </c>
    </row>
    <row r="12">
      <c r="A12" s="33" t="inlineStr">
        <is>
          <t xml:space="preserve">      NO → Optimizar antes de expandir</t>
        </is>
      </c>
    </row>
    <row r="13">
      <c r="A13" s="33" t="inlineStr">
        <is>
          <t xml:space="preserve">        - Subir precio a nuevas</t>
        </is>
      </c>
    </row>
    <row r="14">
      <c r="A14" s="33" t="inlineStr">
        <is>
          <t xml:space="preserve">        - Mejorar retención</t>
        </is>
      </c>
    </row>
    <row r="15">
      <c r="A15" s="33" t="inlineStr">
        <is>
          <t xml:space="preserve">        - Aumentar referidos</t>
        </is>
      </c>
    </row>
    <row r="16">
      <c r="A16" s="33" t="inlineStr">
        <is>
          <t xml:space="preserve">      SÍ → Evaluar crecimiento</t>
        </is>
      </c>
    </row>
    <row r="17">
      <c r="A17" s="33" t="inlineStr">
        <is>
          <t xml:space="preserve">        - ¿Dependencia &gt; 75%? → Documentar procesos, contratar profesor</t>
        </is>
      </c>
    </row>
    <row r="18">
      <c r="A18" s="33" t="inlineStr">
        <is>
          <t xml:space="preserve">        - ¿Margen &gt; 25%? → Invertir en marketing y local</t>
        </is>
      </c>
    </row>
    <row r="19">
      <c r="A19" s="33" t="inlineStr">
        <is>
          <t xml:space="preserve">        - ¿NPS &gt; 50? → Escalar: más horarios, profesores, local</t>
        </is>
      </c>
    </row>
  </sheetData>
  <mergeCells count="1">
    <mergeCell ref="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BLOQUE 10: CUADRO DE MANDO MENSUAL</t>
        </is>
      </c>
    </row>
    <row r="2">
      <c r="A2" s="6" t="inlineStr">
        <is>
          <t>⚠️ CORAZÓN DEL DOCUMENTO VIVO — Completar cada primer lunes del mes</t>
        </is>
      </c>
    </row>
    <row r="4">
      <c r="A4" s="7" t="inlineStr">
        <is>
          <t>Indicador</t>
        </is>
      </c>
      <c r="B4" s="7" t="inlineStr">
        <is>
          <t>Verde</t>
        </is>
      </c>
      <c r="C4" s="7" t="inlineStr">
        <is>
          <t>Amarillo</t>
        </is>
      </c>
      <c r="D4" s="7" t="inlineStr">
        <is>
          <t>Rojo</t>
        </is>
      </c>
      <c r="E4" s="7" t="inlineStr">
        <is>
          <t>Mes actual</t>
        </is>
      </c>
      <c r="F4" s="7" t="inlineStr">
        <is>
          <t>Tendencia</t>
        </is>
      </c>
    </row>
    <row r="5">
      <c r="A5" s="8" t="inlineStr">
        <is>
          <t>Ocupación (%)</t>
        </is>
      </c>
      <c r="B5" s="8" t="inlineStr">
        <is>
          <t>&gt;80%</t>
        </is>
      </c>
      <c r="C5" s="8" t="inlineStr">
        <is>
          <t>60-80%</t>
        </is>
      </c>
      <c r="D5" s="8" t="inlineStr">
        <is>
          <t>&lt;60%</t>
        </is>
      </c>
      <c r="E5" s="9" t="n"/>
      <c r="F5" s="9" t="n"/>
    </row>
    <row r="6">
      <c r="A6" s="8" t="inlineStr">
        <is>
          <t>Retención mensual (%)</t>
        </is>
      </c>
      <c r="B6" s="8" t="inlineStr">
        <is>
          <t>&gt;85%</t>
        </is>
      </c>
      <c r="C6" s="8" t="inlineStr">
        <is>
          <t>70-85%</t>
        </is>
      </c>
      <c r="D6" s="8" t="inlineStr">
        <is>
          <t>&lt;70%</t>
        </is>
      </c>
      <c r="E6" s="9" t="n"/>
      <c r="F6" s="9" t="n"/>
    </row>
    <row r="7">
      <c r="A7" s="8" t="inlineStr">
        <is>
          <t>Referidos (% nuevas alumnas)</t>
        </is>
      </c>
      <c r="B7" s="8" t="inlineStr">
        <is>
          <t>&gt;40%</t>
        </is>
      </c>
      <c r="C7" s="8" t="inlineStr">
        <is>
          <t>20-40%</t>
        </is>
      </c>
      <c r="D7" s="8" t="inlineStr">
        <is>
          <t>&lt;20%</t>
        </is>
      </c>
      <c r="E7" s="9" t="n"/>
      <c r="F7" s="9" t="n"/>
    </row>
    <row r="8">
      <c r="A8" s="8" t="inlineStr">
        <is>
          <t>Margen bruto (%)</t>
        </is>
      </c>
      <c r="B8" s="8" t="inlineStr">
        <is>
          <t>&gt;25%</t>
        </is>
      </c>
      <c r="C8" s="8" t="inlineStr">
        <is>
          <t>10-25%</t>
        </is>
      </c>
      <c r="D8" s="8" t="inlineStr">
        <is>
          <t>&lt;10%</t>
        </is>
      </c>
      <c r="E8" s="9" t="n"/>
      <c r="F8" s="9" t="n"/>
    </row>
    <row r="9">
      <c r="A9" s="8" t="inlineStr">
        <is>
          <t>Dependencia fundadora (%)</t>
        </is>
      </c>
      <c r="B9" s="8" t="inlineStr">
        <is>
          <t>&lt;50%</t>
        </is>
      </c>
      <c r="C9" s="8" t="inlineStr">
        <is>
          <t>50-75%</t>
        </is>
      </c>
      <c r="D9" s="8" t="inlineStr">
        <is>
          <t>&gt;75%</t>
        </is>
      </c>
      <c r="E9" s="9" t="n"/>
      <c r="F9" s="9" t="n"/>
    </row>
    <row r="10">
      <c r="A10" s="8" t="inlineStr">
        <is>
          <t>NPS</t>
        </is>
      </c>
      <c r="B10" s="8" t="inlineStr">
        <is>
          <t>&gt;50</t>
        </is>
      </c>
      <c r="C10" s="8" t="inlineStr">
        <is>
          <t>30-50</t>
        </is>
      </c>
      <c r="D10" s="8" t="inlineStr">
        <is>
          <t>&lt;30</t>
        </is>
      </c>
      <c r="E10" s="9" t="n"/>
      <c r="F10" s="9" t="n"/>
    </row>
    <row r="11">
      <c r="A11" s="8" t="inlineStr">
        <is>
          <t>Tasa abandono mensual (%)</t>
        </is>
      </c>
      <c r="B11" s="8" t="inlineStr">
        <is>
          <t>&lt;10%</t>
        </is>
      </c>
      <c r="C11" s="8" t="inlineStr">
        <is>
          <t>10-15%</t>
        </is>
      </c>
      <c r="D11" s="8" t="inlineStr">
        <is>
          <t>&gt;15%</t>
        </is>
      </c>
      <c r="E11" s="9" t="n"/>
      <c r="F11" s="9" t="n"/>
    </row>
    <row r="12">
      <c r="A12" s="8" t="inlineStr">
        <is>
          <t>CAC (USD)</t>
        </is>
      </c>
      <c r="B12" s="8" t="inlineStr">
        <is>
          <t>&lt;10</t>
        </is>
      </c>
      <c r="C12" s="8" t="inlineStr">
        <is>
          <t>10-15</t>
        </is>
      </c>
      <c r="D12" s="8" t="inlineStr">
        <is>
          <t>&gt;15</t>
        </is>
      </c>
      <c r="E12" s="9" t="n"/>
      <c r="F12" s="9" t="n"/>
    </row>
    <row r="13">
      <c r="A13" s="8" t="inlineStr">
        <is>
          <t>LTV/CAC ratio</t>
        </is>
      </c>
      <c r="B13" s="8" t="inlineStr">
        <is>
          <t>&gt;3</t>
        </is>
      </c>
      <c r="C13" s="8" t="inlineStr">
        <is>
          <t>2-3</t>
        </is>
      </c>
      <c r="D13" s="8" t="inlineStr">
        <is>
          <t>&lt;2</t>
        </is>
      </c>
      <c r="E13" s="9" t="n"/>
      <c r="F13" s="9" t="n"/>
    </row>
    <row r="14">
      <c r="A14" s="8" t="inlineStr">
        <is>
          <t>Punto equilibrio vs. alumnas</t>
        </is>
      </c>
      <c r="B14" s="8" t="inlineStr">
        <is>
          <t>Alumnas &gt; PE+20%</t>
        </is>
      </c>
      <c r="C14" s="8" t="inlineStr">
        <is>
          <t>Alumnas = PE±20%</t>
        </is>
      </c>
      <c r="D14" s="8" t="inlineStr">
        <is>
          <t>Alumnas &lt; PE</t>
        </is>
      </c>
      <c r="E14" s="9" t="n"/>
      <c r="F14" s="9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2026-07-24T08:28:53Z</dcterms:created>
  <dcterms:modified xsi:type="dcterms:W3CDTF">2026-07-24T08:34:02Z</dcterms:modified>
</cp:coreProperties>
</file>