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za Ch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&quot;%&quot;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70C0"/>
      <sz val="10"/>
    </font>
    <font>
      <name val="Arial"/>
      <sz val="10"/>
    </font>
    <font>
      <name val="Arial"/>
      <b val="1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00"/>
        <bgColor rgb="00FFFF00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4" fillId="3" borderId="1" pivotButton="0" quotePrefix="0" xfId="0"/>
    <xf numFmtId="0" fontId="5" fillId="0" borderId="1" pivotButton="0" quotePrefix="0" xfId="0"/>
    <xf numFmtId="0" fontId="3" fillId="2" borderId="1" pivotButton="0" quotePrefix="0" xfId="0"/>
    <xf numFmtId="1" fontId="4" fillId="3" borderId="1" pivotButton="0" quotePrefix="0" xfId="0"/>
    <xf numFmtId="164" fontId="4" fillId="3" borderId="1" pivotButton="0" quotePrefix="0" xfId="0"/>
    <xf numFmtId="0" fontId="6" fillId="0" borderId="1" pivotButton="0" quotePrefix="0" xfId="0"/>
    <xf numFmtId="164" fontId="6" fillId="4" borderId="1" pivotButton="0" quotePrefix="0" xfId="0"/>
    <xf numFmtId="164" fontId="6" fillId="5" borderId="1" pivotButton="0" quotePrefix="0" xfId="0"/>
    <xf numFmtId="165" fontId="6" fillId="5" borderId="1" pivotButton="0" quotePrefix="0" xfId="0"/>
    <xf numFmtId="0" fontId="3" fillId="2" borderId="1" applyAlignment="1" pivotButton="0" quotePrefix="0" xfId="0">
      <alignment horizontal="center" vertical="center" wrapText="1"/>
    </xf>
    <xf numFmtId="166" fontId="4" fillId="3" borderId="1" pivotButton="0" quotePrefix="0" xfId="0"/>
    <xf numFmtId="0" fontId="7" fillId="0" borderId="1" pivotButton="0" quotePrefix="0" xfId="0"/>
    <xf numFmtId="0" fontId="0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25" customWidth="1" min="5" max="5"/>
  </cols>
  <sheetData>
    <row r="1">
      <c r="A1" s="1" t="inlineStr">
        <is>
          <t>DANZA CHIC V3.1 — LLAMADA TELEFÓNICA</t>
        </is>
      </c>
    </row>
    <row r="2">
      <c r="A2" s="2" t="inlineStr">
        <is>
          <t>Rellena amarillo. Las fórmulas calculan el resto.</t>
        </is>
      </c>
    </row>
    <row r="4">
      <c r="A4" s="3" t="inlineStr">
        <is>
          <t>📋 DATOS BÁSICOS (1ª llamada solamente)</t>
        </is>
      </c>
    </row>
    <row r="5">
      <c r="A5" s="4" t="inlineStr">
        <is>
          <t>Años funcionando</t>
        </is>
      </c>
      <c r="B5" s="5" t="n"/>
      <c r="C5" s="6" t="inlineStr">
        <is>
          <t>años</t>
        </is>
      </c>
      <c r="D5" s="4" t="n"/>
      <c r="E5" s="4" t="n"/>
    </row>
    <row r="6">
      <c r="A6" s="4" t="inlineStr">
        <is>
          <t>Alumnas máximo histórico</t>
        </is>
      </c>
      <c r="B6" s="5" t="n"/>
      <c r="C6" s="6" t="inlineStr">
        <is>
          <t>personas</t>
        </is>
      </c>
      <c r="D6" s="4" t="n"/>
      <c r="E6" s="4" t="n"/>
    </row>
    <row r="7">
      <c r="A7" s="4" t="inlineStr">
        <is>
          <t>Capacidad máxima del local</t>
        </is>
      </c>
      <c r="B7" s="5" t="n"/>
      <c r="C7" s="6" t="inlineStr">
        <is>
          <t>personas/clase</t>
        </is>
      </c>
      <c r="D7" s="4" t="n"/>
      <c r="E7" s="4" t="n"/>
    </row>
    <row r="8">
      <c r="A8" s="4" t="inlineStr">
        <is>
          <t>Mensualidad actual</t>
        </is>
      </c>
      <c r="B8" s="5" t="n"/>
      <c r="C8" s="6" t="inlineStr">
        <is>
          <t>USD</t>
        </is>
      </c>
      <c r="D8" s="4" t="n"/>
      <c r="E8" s="4" t="n"/>
    </row>
    <row r="10">
      <c r="A10" s="3" t="inlineStr">
        <is>
          <t>💰 ESTADO RESULTADOS — ESTE MES</t>
        </is>
      </c>
    </row>
    <row r="11">
      <c r="A11" s="7" t="inlineStr">
        <is>
          <t>Concepto</t>
        </is>
      </c>
      <c r="B11" s="7" t="inlineStr">
        <is>
          <t>USD</t>
        </is>
      </c>
    </row>
    <row r="12">
      <c r="A12" s="4" t="inlineStr">
        <is>
          <t>Alumnas actuales</t>
        </is>
      </c>
      <c r="B12" s="8" t="n"/>
    </row>
    <row r="13">
      <c r="A13" s="4" t="inlineStr">
        <is>
          <t>Ingreso total (alumnas × $)</t>
        </is>
      </c>
      <c r="B13" s="8" t="n"/>
    </row>
    <row r="15">
      <c r="A15" s="4" t="inlineStr">
        <is>
          <t>Gastos variables (material, etc)</t>
        </is>
      </c>
      <c r="B15" s="9" t="n"/>
    </row>
    <row r="16">
      <c r="A16" s="4" t="inlineStr">
        <is>
          <t>Alquiler</t>
        </is>
      </c>
      <c r="B16" s="9" t="n"/>
    </row>
    <row r="17">
      <c r="A17" s="4" t="inlineStr">
        <is>
          <t>Profesor (si contratado)</t>
        </is>
      </c>
      <c r="B17" s="9" t="n"/>
    </row>
    <row r="18">
      <c r="A18" s="4" t="inlineStr">
        <is>
          <t>Marketing</t>
        </is>
      </c>
      <c r="B18" s="9" t="n"/>
    </row>
    <row r="19">
      <c r="A19" s="4" t="inlineStr">
        <is>
          <t>Otros gastos fijos</t>
        </is>
      </c>
      <c r="B19" s="9" t="n"/>
    </row>
    <row r="21">
      <c r="A21" s="10" t="inlineStr">
        <is>
          <t>TOTAL GASTOS</t>
        </is>
      </c>
      <c r="B21" s="11">
        <f>SUM(B21:B25)</f>
        <v/>
      </c>
    </row>
    <row r="22">
      <c r="A22" s="10" t="inlineStr">
        <is>
          <t>MARGEN BRUTO</t>
        </is>
      </c>
      <c r="B22" s="12">
        <f>B19-B26</f>
        <v/>
      </c>
    </row>
    <row r="23">
      <c r="A23" s="10" t="inlineStr">
        <is>
          <t>MARGEN %</t>
        </is>
      </c>
      <c r="B23" s="13">
        <f>IF(B19=0,0,(B27/B19)*100)</f>
        <v/>
      </c>
    </row>
    <row r="25">
      <c r="A25" s="3" t="inlineStr">
        <is>
          <t>📊 CUADRO DE MANDO (10 KPIs)</t>
        </is>
      </c>
    </row>
    <row r="26">
      <c r="A26" s="14" t="inlineStr">
        <is>
          <t>KPI</t>
        </is>
      </c>
      <c r="B26" s="14" t="inlineStr">
        <is>
          <t>Umbrales</t>
        </is>
      </c>
      <c r="C26" s="14" t="inlineStr">
        <is>
          <t>Valor</t>
        </is>
      </c>
      <c r="D26" s="14" t="inlineStr">
        <is>
          <t>Estado</t>
        </is>
      </c>
    </row>
    <row r="27">
      <c r="A27" s="4" t="inlineStr">
        <is>
          <t>1. Ocupación (%)</t>
        </is>
      </c>
      <c r="B27" s="4" t="inlineStr">
        <is>
          <t>&gt;80%✓ | 60-80%⚠ | &lt;60%✗</t>
        </is>
      </c>
      <c r="C27" s="15" t="n"/>
      <c r="D27" s="5" t="n"/>
    </row>
    <row r="28">
      <c r="A28" s="4" t="inlineStr">
        <is>
          <t>2. Retención mes 2 (%)</t>
        </is>
      </c>
      <c r="B28" s="4" t="inlineStr">
        <is>
          <t>&gt;85%✓ | 70-85%⚠ | &lt;70%✗</t>
        </is>
      </c>
      <c r="C28" s="15" t="n"/>
      <c r="D28" s="5" t="n"/>
    </row>
    <row r="29">
      <c r="A29" s="4" t="inlineStr">
        <is>
          <t>3. Referidos (% nuevas)</t>
        </is>
      </c>
      <c r="B29" s="4" t="inlineStr">
        <is>
          <t>&gt;40%✓ | 20-40%⚠ | &lt;20%✗</t>
        </is>
      </c>
      <c r="C29" s="15" t="n"/>
      <c r="D29" s="5" t="n"/>
    </row>
    <row r="30">
      <c r="A30" s="4" t="inlineStr">
        <is>
          <t>4. Margen bruto (%)</t>
        </is>
      </c>
      <c r="B30" s="4" t="inlineStr">
        <is>
          <t>&gt;25%✓ | 10-25%⚠ | &lt;10%✗</t>
        </is>
      </c>
      <c r="C30" s="15" t="n"/>
      <c r="D30" s="5" t="n"/>
    </row>
    <row r="31">
      <c r="A31" s="4" t="inlineStr">
        <is>
          <t>5. Dependencia fundadora (%)</t>
        </is>
      </c>
      <c r="B31" s="4" t="inlineStr">
        <is>
          <t>&lt;50%✓ | 50-75%⚠ | &gt;75%✗</t>
        </is>
      </c>
      <c r="C31" s="15" t="n"/>
      <c r="D31" s="5" t="n"/>
    </row>
    <row r="32">
      <c r="A32" s="4" t="inlineStr">
        <is>
          <t>6. NPS (Net Promoter Score)</t>
        </is>
      </c>
      <c r="B32" s="4" t="inlineStr">
        <is>
          <t>&gt;50✓ | 30-50⚠ | &lt;30✗</t>
        </is>
      </c>
      <c r="C32" s="15" t="n"/>
      <c r="D32" s="5" t="n"/>
    </row>
    <row r="33">
      <c r="A33" s="4" t="inlineStr">
        <is>
          <t>7. Abandono mensual (%)</t>
        </is>
      </c>
      <c r="B33" s="4" t="inlineStr">
        <is>
          <t>&lt;10%✓ | 10-15%⚠ | &gt;15%✗</t>
        </is>
      </c>
      <c r="C33" s="15" t="n"/>
      <c r="D33" s="5" t="n"/>
    </row>
    <row r="34">
      <c r="A34" s="4" t="inlineStr">
        <is>
          <t>8. CAC (Costo adquisición)</t>
        </is>
      </c>
      <c r="B34" s="4" t="inlineStr">
        <is>
          <t>&lt;10$✓ | 10-15⚠ | &gt;15$✗</t>
        </is>
      </c>
      <c r="C34" s="15" t="n"/>
      <c r="D34" s="5" t="n"/>
    </row>
    <row r="35">
      <c r="A35" s="4" t="inlineStr">
        <is>
          <t>9. LTV/CAC ratio</t>
        </is>
      </c>
      <c r="B35" s="4" t="inlineStr">
        <is>
          <t>&gt;3✓ | 2-3⚠ | &lt;2✗</t>
        </is>
      </c>
      <c r="C35" s="15" t="n"/>
      <c r="D35" s="5" t="n"/>
    </row>
    <row r="36">
      <c r="A36" s="4" t="inlineStr">
        <is>
          <t>10. Punto equilibrio vs actualidad</t>
        </is>
      </c>
      <c r="B36" s="4" t="inlineStr">
        <is>
          <t>Alumnas&gt;PE+20%✓ | PE±20%⚠ | &lt;PE✗</t>
        </is>
      </c>
      <c r="C36" s="15" t="n"/>
      <c r="D36" s="5" t="n"/>
    </row>
    <row r="39">
      <c r="A39" s="3" t="inlineStr">
        <is>
          <t>🔴 DECISIONES &amp; ACCIONES</t>
        </is>
      </c>
    </row>
    <row r="40">
      <c r="A40" s="10" t="inlineStr">
        <is>
          <t>Si ocupación ROJA:</t>
        </is>
      </c>
      <c r="B40" s="6" t="inlineStr">
        <is>
          <t>Subir marketing, ir a colegios, revisar precio</t>
        </is>
      </c>
      <c r="C40" s="4" t="n"/>
      <c r="D40" s="4" t="n"/>
      <c r="E40" s="4" t="n"/>
    </row>
    <row r="41">
      <c r="A41" s="10" t="inlineStr">
        <is>
          <t>Si retención ROJA:</t>
        </is>
      </c>
      <c r="B41" s="6" t="inlineStr">
        <is>
          <t>Encuesta a mamás, mejorar primeras clases</t>
        </is>
      </c>
      <c r="C41" s="4" t="n"/>
      <c r="D41" s="4" t="n"/>
      <c r="E41" s="4" t="n"/>
    </row>
    <row r="42">
      <c r="A42" s="10" t="inlineStr">
        <is>
          <t>Si referidos ROJA:</t>
        </is>
      </c>
      <c r="B42" s="6" t="inlineStr">
        <is>
          <t>Mejorar satisfacción (revisar NPS)</t>
        </is>
      </c>
      <c r="C42" s="4" t="n"/>
      <c r="D42" s="4" t="n"/>
      <c r="E42" s="4" t="n"/>
    </row>
    <row r="43">
      <c r="A43" s="10" t="inlineStr">
        <is>
          <t>Si margen ROJO:</t>
        </is>
      </c>
      <c r="B43" s="6" t="inlineStr">
        <is>
          <t>Subir precio O reducir gastos</t>
        </is>
      </c>
      <c r="C43" s="4" t="n"/>
      <c r="D43" s="4" t="n"/>
      <c r="E43" s="4" t="n"/>
    </row>
    <row r="44">
      <c r="A44" s="10" t="inlineStr">
        <is>
          <t>Si dependencia &gt;75%:</t>
        </is>
      </c>
      <c r="B44" s="6" t="inlineStr">
        <is>
          <t>URGENTE: Contratar profesor backup</t>
        </is>
      </c>
      <c r="C44" s="4" t="n"/>
      <c r="D44" s="4" t="n"/>
      <c r="E44" s="4" t="n"/>
    </row>
    <row r="47">
      <c r="A47" s="3" t="inlineStr">
        <is>
          <t>🎯 EMBUDO COMERCIAL (¿Dónde se pierden?)</t>
        </is>
      </c>
    </row>
    <row r="48">
      <c r="A48" s="7" t="inlineStr">
        <is>
          <t>Etapa</t>
        </is>
      </c>
      <c r="B48" s="7" t="inlineStr">
        <is>
          <t>Número</t>
        </is>
      </c>
      <c r="C48" s="7" t="inlineStr">
        <is>
          <t>% Conversión</t>
        </is>
      </c>
      <c r="D48" s="7" t="inlineStr">
        <is>
          <t>Meta</t>
        </is>
      </c>
    </row>
    <row r="49">
      <c r="A49" s="4" t="inlineStr">
        <is>
          <t>Preguntan (WhatsApp)</t>
        </is>
      </c>
      <c r="B49" s="5" t="n"/>
      <c r="C49" s="16" t="n"/>
      <c r="D49" s="4" t="inlineStr">
        <is>
          <t>&gt;60%</t>
        </is>
      </c>
    </row>
    <row r="50">
      <c r="A50" s="4" t="inlineStr">
        <is>
          <t>Asisten clase prueba</t>
        </is>
      </c>
      <c r="B50" s="5" t="n"/>
      <c r="C50" s="16" t="n"/>
      <c r="D50" s="4" t="inlineStr">
        <is>
          <t>&gt;40%</t>
        </is>
      </c>
    </row>
    <row r="51">
      <c r="A51" s="4" t="inlineStr">
        <is>
          <t>Se matriculan</t>
        </is>
      </c>
      <c r="B51" s="5" t="n"/>
      <c r="C51" s="16" t="n"/>
      <c r="D51" s="4" t="inlineStr">
        <is>
          <t>&gt;80%</t>
        </is>
      </c>
    </row>
    <row r="52">
      <c r="A52" s="4" t="inlineStr">
        <is>
          <t>Renuevan mes 2</t>
        </is>
      </c>
      <c r="B52" s="5" t="n"/>
      <c r="C52" s="16" t="n"/>
      <c r="D52" s="4" t="inlineStr">
        <is>
          <t>&gt;60%</t>
        </is>
      </c>
    </row>
    <row r="53">
      <c r="A53" s="4" t="inlineStr">
        <is>
          <t>Mes 6 aún con ustedes</t>
        </is>
      </c>
      <c r="B53" s="5" t="n"/>
      <c r="C53" s="16" t="n"/>
      <c r="D53" s="4" t="inlineStr">
        <is>
          <t>&gt;30%</t>
        </is>
      </c>
    </row>
    <row r="56">
      <c r="A56" s="3" t="inlineStr">
        <is>
          <t>📝 NOTAS DE ESTA LLAMADA</t>
        </is>
      </c>
    </row>
    <row r="57">
      <c r="A57" t="inlineStr">
        <is>
          <t>Decisión:</t>
        </is>
      </c>
      <c r="B57" s="17" t="n"/>
    </row>
    <row r="59">
      <c r="A59" t="inlineStr">
        <is>
          <t>Próxima acción:</t>
        </is>
      </c>
      <c r="B59" s="17" t="n"/>
    </row>
    <row r="61">
      <c r="A61" t="inlineStr">
        <is>
          <t>Problemas encontrados:</t>
        </is>
      </c>
      <c r="B61" s="17" t="n"/>
    </row>
  </sheetData>
  <mergeCells count="16">
    <mergeCell ref="A39:E39"/>
    <mergeCell ref="B40:E40"/>
    <mergeCell ref="B41:E41"/>
    <mergeCell ref="A4:E4"/>
    <mergeCell ref="B57:E57"/>
    <mergeCell ref="B61:E61"/>
    <mergeCell ref="A2:E2"/>
    <mergeCell ref="B43:E43"/>
    <mergeCell ref="A10:E10"/>
    <mergeCell ref="A25:E25"/>
    <mergeCell ref="B44:E44"/>
    <mergeCell ref="A47:E47"/>
    <mergeCell ref="A1:E1"/>
    <mergeCell ref="B59:E59"/>
    <mergeCell ref="B42:E42"/>
    <mergeCell ref="A56:E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2026-07-24T08:44:49Z</dcterms:created>
  <dcterms:modified xsi:type="dcterms:W3CDTF">2026-07-24T08:44:49Z</dcterms:modified>
</cp:coreProperties>
</file>